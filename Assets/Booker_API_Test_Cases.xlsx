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Lists" sheetId="3" state="hidden" r:id="rId5"/>
  </sheets>
  <definedNames>
    <definedName function="false" hidden="true" localSheetId="1" name="_xlnm._FilterDatabase" vbProcedure="false">'Test Cases'!$A$1:$P$55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<sst xmlns="http://schemas.openxmlformats.org/spreadsheetml/2006/main" count="859" uniqueCount="339">
  <si>
    <t xml:space="preserve">Restful-Booker API — Test Cases</t>
  </si>
  <si>
    <t xml:space="preserve">Project Name</t>
  </si>
  <si>
    <t xml:space="preserve">Restful-Booker</t>
  </si>
  <si>
    <t xml:space="preserve">How to use</t>
  </si>
  <si>
    <t xml:space="preserve">Module</t>
  </si>
  <si>
    <t xml:space="preserve">API</t>
  </si>
  <si>
    <t xml:space="preserve">• On 'Test Cases', fill in Status (dropdown), Actual Result and Bug ID.</t>
  </si>
  <si>
    <t xml:space="preserve">Created By</t>
  </si>
  <si>
    <t xml:space="preserve">Oly</t>
  </si>
  <si>
    <t xml:space="preserve">• When a failure is a confirmed bug, set Suite to 'Known Issue'.</t>
  </si>
  <si>
    <t xml:space="preserve">Version</t>
  </si>
  <si>
    <t xml:space="preserve">2.0 (supersedes the 2024 sheet)</t>
  </si>
  <si>
    <t xml:space="preserve">• Counts on this sheet update automatically.</t>
  </si>
  <si>
    <t xml:space="preserve">Last Updated</t>
  </si>
  <si>
    <t xml:space="preserve">September 2026</t>
  </si>
  <si>
    <t xml:space="preserve">Risk Map</t>
  </si>
  <si>
    <t xml:space="preserve">docs/01-risk-map.md</t>
  </si>
  <si>
    <t xml:space="preserve">Test Strategy</t>
  </si>
  <si>
    <t xml:space="preserve">docs/02-test-strategy.md</t>
  </si>
  <si>
    <t xml:space="preserve">Test Plan</t>
  </si>
  <si>
    <t xml:space="preserve">docs/03-test-plan.md</t>
  </si>
  <si>
    <t xml:space="preserve">Scenario ID</t>
  </si>
  <si>
    <t xml:space="preserve">Scenario</t>
  </si>
  <si>
    <t xml:space="preserve">Risk IDs</t>
  </si>
  <si>
    <t xml:space="preserve">Priority</t>
  </si>
  <si>
    <t xml:space="preserve">Suite</t>
  </si>
  <si>
    <t xml:space="preserve">No. of TCs</t>
  </si>
  <si>
    <t xml:space="preserve">Passed</t>
  </si>
  <si>
    <t xml:space="preserve">Failed</t>
  </si>
  <si>
    <t xml:space="preserve">Blocked</t>
  </si>
  <si>
    <t xml:space="preserve">Not Run</t>
  </si>
  <si>
    <t xml:space="preserve">Pass Rate</t>
  </si>
  <si>
    <t xml:space="preserve">S00</t>
  </si>
  <si>
    <t xml:space="preserve">Health Check</t>
  </si>
  <si>
    <t xml:space="preserve">R6</t>
  </si>
  <si>
    <t xml:space="preserve">P0</t>
  </si>
  <si>
    <t xml:space="preserve">Smoke</t>
  </si>
  <si>
    <t xml:space="preserve">S01</t>
  </si>
  <si>
    <t xml:space="preserve">Authentication</t>
  </si>
  <si>
    <t xml:space="preserve">R2</t>
  </si>
  <si>
    <t xml:space="preserve">S02</t>
  </si>
  <si>
    <t xml:space="preserve">Booking Lifecycle</t>
  </si>
  <si>
    <t xml:space="preserve">R4, R8</t>
  </si>
  <si>
    <t xml:space="preserve">S03</t>
  </si>
  <si>
    <t xml:space="preserve">Input Validation</t>
  </si>
  <si>
    <t xml:space="preserve">R1, R8, R9</t>
  </si>
  <si>
    <t xml:space="preserve">P1</t>
  </si>
  <si>
    <t xml:space="preserve">Regression</t>
  </si>
  <si>
    <t xml:space="preserve">S04</t>
  </si>
  <si>
    <t xml:space="preserve">Authorization</t>
  </si>
  <si>
    <t xml:space="preserve">R3, R6</t>
  </si>
  <si>
    <t xml:space="preserve">S05</t>
  </si>
  <si>
    <t xml:space="preserve">Search &amp; Filters</t>
  </si>
  <si>
    <t xml:space="preserve">R5</t>
  </si>
  <si>
    <t xml:space="preserve">P2</t>
  </si>
  <si>
    <t xml:space="preserve">S06</t>
  </si>
  <si>
    <t xml:space="preserve">Docs &amp; Contract</t>
  </si>
  <si>
    <t xml:space="preserve">R7, R4, R6</t>
  </si>
  <si>
    <t xml:space="preserve">Total</t>
  </si>
  <si>
    <t xml:space="preserve">Pass Rate = Passed ÷ (Passed + Failed). Blocked and Not Run cases are excluded.</t>
  </si>
  <si>
    <t xml:space="preserve">Known Issue counts come from the Suite column on 'Test Cases':</t>
  </si>
  <si>
    <t xml:space="preserve">TC ID</t>
  </si>
  <si>
    <t xml:space="preserve">Risk ID</t>
  </si>
  <si>
    <t xml:space="preserve">Title</t>
  </si>
  <si>
    <t xml:space="preserve">Preconditions</t>
  </si>
  <si>
    <t xml:space="preserve">Request</t>
  </si>
  <si>
    <t xml:space="preserve">Headers / Auth</t>
  </si>
  <si>
    <t xml:space="preserve">Test Data / Body</t>
  </si>
  <si>
    <t xml:space="preserve">Expected Result</t>
  </si>
  <si>
    <t xml:space="preserve">Postman Assertions</t>
  </si>
  <si>
    <t xml:space="preserve">Automated</t>
  </si>
  <si>
    <t xml:space="preserve">Status</t>
  </si>
  <si>
    <t xml:space="preserve">Actual Result</t>
  </si>
  <si>
    <t xml:space="preserve">Bug ID</t>
  </si>
  <si>
    <t xml:space="preserve">TC-S00-01</t>
  </si>
  <si>
    <t xml:space="preserve">Verify the health check endpoint responds when the API is up</t>
  </si>
  <si>
    <t xml:space="preserve">None</t>
  </si>
  <si>
    <t xml:space="preserve">GET /ping</t>
  </si>
  <si>
    <t xml:space="preserve">Accept: application/json</t>
  </si>
  <si>
    <t xml:space="preserve">201 Created with body 'Created' (documented behavior)</t>
  </si>
  <si>
    <t xml:space="preserve">Status is 201; body includes 'Created'</t>
  </si>
  <si>
    <t xml:space="preserve">Y</t>
  </si>
  <si>
    <t xml:space="preserve">TC-S01-01</t>
  </si>
  <si>
    <t xml:space="preserve">Verify a token is returned for valid credentials</t>
  </si>
  <si>
    <t xml:space="preserve">POST /auth</t>
  </si>
  <si>
    <t xml:space="preserve">Content-Type: application/json
Accept: application/json</t>
  </si>
  <si>
    <t xml:space="preserve">{"username": "{{username}}", "password": "{{password}}"}</t>
  </si>
  <si>
    <t xml:space="preserve">200 OK with a non-empty string token; token saved to {{token}}</t>
  </si>
  <si>
    <t xml:space="preserve">Status is 200; token exists, is a non-empty string; set {{token}}</t>
  </si>
  <si>
    <t xml:space="preserve">TC-S01-02</t>
  </si>
  <si>
    <t xml:space="preserve">Verify an invalid password is rejected with 401</t>
  </si>
  <si>
    <t xml:space="preserve">{"username": "{{username}}", "password": "wrong-password"}</t>
  </si>
  <si>
    <t xml:space="preserve">401 Unauthorized; no token in the response</t>
  </si>
  <si>
    <t xml:space="preserve">Status is 401; body has no token</t>
  </si>
  <si>
    <t xml:space="preserve">TC-S01-03</t>
  </si>
  <si>
    <t xml:space="preserve">Verify an unknown username is rejected with 401</t>
  </si>
  <si>
    <t xml:space="preserve">{"username": "no-such-user", "password": "{{password}}"}</t>
  </si>
  <si>
    <t xml:space="preserve">TC-S01-04</t>
  </si>
  <si>
    <t xml:space="preserve">Verify a token request with an empty body is rejected with 400</t>
  </si>
  <si>
    <t xml:space="preserve">{}</t>
  </si>
  <si>
    <t xml:space="preserve">400 Bad Request; no token in the response</t>
  </si>
  <si>
    <t xml:space="preserve">Status is 400; body has no token</t>
  </si>
  <si>
    <t xml:space="preserve">TC-S02-01</t>
  </si>
  <si>
    <t xml:space="preserve">R4</t>
  </si>
  <si>
    <t xml:space="preserve">Verify a booking is created with valid data</t>
  </si>
  <si>
    <t xml:space="preserve">POST /booking</t>
  </si>
  <si>
    <t xml:space="preserve">Valid booking body: generated firstname/lastname, totalprice, depositpaid, bookingdates (checkin, checkout), additionalneeds</t>
  </si>
  <si>
    <t xml:space="preserve">200 OK with a numeric bookingid and a booking object matching the data sent; bookingid saved to {{bookingid}}</t>
  </si>
  <si>
    <t xml:space="preserve">Status is 200; bookingid is a number; each booking field equals the value sent; schema check; set {{bookingid}}</t>
  </si>
  <si>
    <t xml:space="preserve">TC-S02-02</t>
  </si>
  <si>
    <t xml:space="preserve">Verify the new booking appears in the booking ID list</t>
  </si>
  <si>
    <t xml:space="preserve">S02-01 passed ({{bookingid}} set)</t>
  </si>
  <si>
    <t xml:space="preserve">GET /booking</t>
  </si>
  <si>
    <t xml:space="preserve">200 OK; the list contains {{bookingid}}</t>
  </si>
  <si>
    <t xml:space="preserve">Status is 200; response array contains an item with bookingid = {{bookingid}}</t>
  </si>
  <si>
    <t xml:space="preserve">TC-S02-03</t>
  </si>
  <si>
    <t xml:space="preserve">Verify the created booking can be retrieved by ID</t>
  </si>
  <si>
    <t xml:space="preserve">S02-01 passed</t>
  </si>
  <si>
    <t xml:space="preserve">GET /booking/{{bookingid}}</t>
  </si>
  <si>
    <t xml:space="preserve">200 OK; every field matches the data sent in S02-01</t>
  </si>
  <si>
    <t xml:space="preserve">Status is 200; each field equals the created values; schema check</t>
  </si>
  <si>
    <t xml:space="preserve">TC-S02-04</t>
  </si>
  <si>
    <t xml:space="preserve">Verify a full update replaces all booking fields</t>
  </si>
  <si>
    <t xml:space="preserve">S02-01 passed; valid {{token}}</t>
  </si>
  <si>
    <t xml:space="preserve">PUT /booking/{{bookingid}}</t>
  </si>
  <si>
    <t xml:space="preserve">Content-Type: application/json
Accept: application/json
Cookie: token={{token}}</t>
  </si>
  <si>
    <t xml:space="preserve">Complete booking body with every field changed to new values</t>
  </si>
  <si>
    <t xml:space="preserve">200 OK; response shows all new values</t>
  </si>
  <si>
    <t xml:space="preserve">Status is 200; each field equals the new values; schema check</t>
  </si>
  <si>
    <t xml:space="preserve">TC-S02-05</t>
  </si>
  <si>
    <t xml:space="preserve">Verify the full update is persisted</t>
  </si>
  <si>
    <t xml:space="preserve">S02-04 passed</t>
  </si>
  <si>
    <t xml:space="preserve">200 OK; stored booking matches the values sent in S02-04</t>
  </si>
  <si>
    <t xml:space="preserve">Status is 200; each field equals the updated values</t>
  </si>
  <si>
    <t xml:space="preserve">TC-S02-06</t>
  </si>
  <si>
    <t xml:space="preserve">Verify a partial update changes only the fields sent</t>
  </si>
  <si>
    <t xml:space="preserve">S02-05 passed; valid {{token}}</t>
  </si>
  <si>
    <t xml:space="preserve">PATCH /booking/{{bookingid}}</t>
  </si>
  <si>
    <t xml:space="preserve">{"firstname": "&lt;new&gt;", "lastname": "&lt;new&gt;"}</t>
  </si>
  <si>
    <t xml:space="preserve">200 OK; firstname and lastname updated; all other fields unchanged from S02-05</t>
  </si>
  <si>
    <t xml:space="preserve">Status is 200; firstname/lastname equal new values; other fields equal previous values</t>
  </si>
  <si>
    <t xml:space="preserve">TC-S02-07</t>
  </si>
  <si>
    <t xml:space="preserve">Verify a booking can be deleted by an authorized user</t>
  </si>
  <si>
    <t xml:space="preserve">S02-06 passed; valid {{token}}</t>
  </si>
  <si>
    <t xml:space="preserve">DELETE /booking/{{bookingid}}</t>
  </si>
  <si>
    <t xml:space="preserve">Cookie: token={{token}}</t>
  </si>
  <si>
    <t xml:space="preserve">Success status (2xx); booking removed</t>
  </si>
  <si>
    <t xml:space="preserve">Status is 2xx</t>
  </si>
  <si>
    <t xml:space="preserve">TC-S02-08</t>
  </si>
  <si>
    <t xml:space="preserve">Verify a deleted booking can no longer be retrieved</t>
  </si>
  <si>
    <t xml:space="preserve">S02-07 passed</t>
  </si>
  <si>
    <t xml:space="preserve">404 Not Found</t>
  </si>
  <si>
    <t xml:space="preserve">Status is 404</t>
  </si>
  <si>
    <t xml:space="preserve">TC-S03-01</t>
  </si>
  <si>
    <t xml:space="preserve">R1</t>
  </si>
  <si>
    <t xml:space="preserve">Verify creating a booking with missing required fields is rejected with 400</t>
  </si>
  <si>
    <t xml:space="preserve">Valid booking body with totalprice, depositpaid and bookingdates removed</t>
  </si>
  <si>
    <t xml:space="preserve">400 Bad Request with an error message; no booking is created</t>
  </si>
  <si>
    <t xml:space="preserve">Status is 400; body is not a booking object</t>
  </si>
  <si>
    <t xml:space="preserve">TC-S03-02</t>
  </si>
  <si>
    <t xml:space="preserve">Verify creating a booking with an empty JSON body is rejected with 400</t>
  </si>
  <si>
    <t xml:space="preserve">400 Bad Request; no booking is created</t>
  </si>
  <si>
    <t xml:space="preserve">TC-S03-03</t>
  </si>
  <si>
    <t xml:space="preserve">Verify creating a booking with a non-numeric totalprice is rejected with 400</t>
  </si>
  <si>
    <t xml:space="preserve">Valid booking body with "totalprice": "abc"</t>
  </si>
  <si>
    <t xml:space="preserve">Status is 400</t>
  </si>
  <si>
    <t xml:space="preserve">TC-S03-04</t>
  </si>
  <si>
    <t xml:space="preserve">Verify creating a booking with a non-boolean depositpaid is rejected with 400</t>
  </si>
  <si>
    <t xml:space="preserve">Valid booking body with "depositpaid": "yes"</t>
  </si>
  <si>
    <t xml:space="preserve">TC-S03-05</t>
  </si>
  <si>
    <t xml:space="preserve">Verify creating a booking with checkout before checkin is rejected with 400</t>
  </si>
  <si>
    <t xml:space="preserve">Valid booking body with checkin "2026-10-10" and checkout "2026-10-05"</t>
  </si>
  <si>
    <t xml:space="preserve">TC-S03-06</t>
  </si>
  <si>
    <t xml:space="preserve">Verify creating a booking with an invalid date is rejected with 400</t>
  </si>
  <si>
    <t xml:space="preserve">Valid booking body with checkin "2026-13-45"</t>
  </si>
  <si>
    <t xml:space="preserve">TC-S03-07</t>
  </si>
  <si>
    <t xml:space="preserve">Verify creating a booking with a negative totalprice is rejected with 400</t>
  </si>
  <si>
    <t xml:space="preserve">Valid booking body with "totalprice": -100</t>
  </si>
  <si>
    <t xml:space="preserve">TC-S03-08</t>
  </si>
  <si>
    <t xml:space="preserve">Verify an oversized firstname is handled without a server error</t>
  </si>
  <si>
    <t xml:space="preserve">Valid booking body with a 10,000-character firstname</t>
  </si>
  <si>
    <t xml:space="preserve">400 Bad Request (or accepted with the value stored intact); never a 5xx</t>
  </si>
  <si>
    <t xml:space="preserve">Status is not 5xx; if 200, stored firstname equals the value sent</t>
  </si>
  <si>
    <t xml:space="preserve">TC-S03-09</t>
  </si>
  <si>
    <t xml:space="preserve">R1, R9</t>
  </si>
  <si>
    <t xml:space="preserve">Verify malformed JSON is rejected with 400</t>
  </si>
  <si>
    <t xml:space="preserve">Syntactically invalid JSON (e.g. missing closing brace)</t>
  </si>
  <si>
    <t xml:space="preserve">400 Bad Request</t>
  </si>
  <si>
    <t xml:space="preserve">TC-S03-10</t>
  </si>
  <si>
    <t xml:space="preserve">R8</t>
  </si>
  <si>
    <t xml:space="preserve">Verify a full update with a partial body is rejected and the booking is unchanged</t>
  </si>
  <si>
    <t xml:space="preserve">A booking created for this test by the pre-request script ({{bookingid}}); valid {{token}}</t>
  </si>
  <si>
    <t xml:space="preserve">Valid booking body with depositpaid removed</t>
  </si>
  <si>
    <t xml:space="preserve">400 Bad Request; a follow-up GET shows the booking unchanged</t>
  </si>
  <si>
    <t xml:space="preserve">Status is 400; follow-up GET fields equal the original values</t>
  </si>
  <si>
    <t xml:space="preserve">TC-S03-11</t>
  </si>
  <si>
    <t xml:space="preserve">Verify a partial update with an empty body leaves the booking unchanged</t>
  </si>
  <si>
    <t xml:space="preserve">400 Bad Request, or 200 with no fields changed</t>
  </si>
  <si>
    <t xml:space="preserve">Status is 400 or 200; follow-up GET fields equal the original values</t>
  </si>
  <si>
    <t xml:space="preserve">TC-S03-12</t>
  </si>
  <si>
    <t xml:space="preserve">R1, R8</t>
  </si>
  <si>
    <t xml:space="preserve">Verify a partial update with unknown field names is rejected</t>
  </si>
  <si>
    <t xml:space="preserve">{"helloname": "QA", "middlename": "Tester"}</t>
  </si>
  <si>
    <t xml:space="preserve">400 Bad Request; booking unchanged</t>
  </si>
  <si>
    <t xml:space="preserve">TC-S03-13</t>
  </si>
  <si>
    <t xml:space="preserve">Verify updating a non-existent booking returns 404</t>
  </si>
  <si>
    <t xml:space="preserve">Valid {{token}}</t>
  </si>
  <si>
    <t xml:space="preserve">PUT /booking/999999999</t>
  </si>
  <si>
    <t xml:space="preserve">404 Not Found; no booking is created</t>
  </si>
  <si>
    <t xml:space="preserve">TC-S03-14</t>
  </si>
  <si>
    <t xml:space="preserve">Verify deleting an already-deleted booking returns 404</t>
  </si>
  <si>
    <t xml:space="preserve">A booking created for this test by the pre-request script ({{bookingid}}), then deleted; valid {{token}}</t>
  </si>
  <si>
    <t xml:space="preserve">TC-S03-15</t>
  </si>
  <si>
    <t xml:space="preserve">Verify requesting a non-numeric booking ID returns 404</t>
  </si>
  <si>
    <t xml:space="preserve">GET /booking/abc</t>
  </si>
  <si>
    <t xml:space="preserve">404 Not Found (or 400 Bad Request); never a 5xx</t>
  </si>
  <si>
    <t xml:space="preserve">Status is 404 or 400</t>
  </si>
  <si>
    <t xml:space="preserve">TC-S03-16</t>
  </si>
  <si>
    <t xml:space="preserve">R9</t>
  </si>
  <si>
    <t xml:space="preserve">Verify a booking can be retrieved as XML</t>
  </si>
  <si>
    <t xml:space="preserve">A booking created for this test by the pre-request script ({{bookingid}})</t>
  </si>
  <si>
    <t xml:space="preserve">Accept: application/xml</t>
  </si>
  <si>
    <t xml:space="preserve">200 OK with an XML body containing the booking fields</t>
  </si>
  <si>
    <t xml:space="preserve">Status is 200; Content-Type includes xml; body contains firstname</t>
  </si>
  <si>
    <t xml:space="preserve">TC-S03-17</t>
  </si>
  <si>
    <t xml:space="preserve">Verify an unsupported Accept header returns 406</t>
  </si>
  <si>
    <t xml:space="preserve">Accept: application/pdf</t>
  </si>
  <si>
    <t xml:space="preserve">406 Not Acceptable</t>
  </si>
  <si>
    <t xml:space="preserve">Status is 406</t>
  </si>
  <si>
    <t xml:space="preserve">TC-S03-18</t>
  </si>
  <si>
    <t xml:space="preserve">Verify an unsupported Content-Type on create returns 415</t>
  </si>
  <si>
    <t xml:space="preserve">Content-Type: text/plain
Accept: application/json</t>
  </si>
  <si>
    <t xml:space="preserve">Valid booking body sent as plain text</t>
  </si>
  <si>
    <t xml:space="preserve">415 Unsupported Media Type; no booking is created</t>
  </si>
  <si>
    <t xml:space="preserve">Status is 415</t>
  </si>
  <si>
    <t xml:space="preserve">TC-S04-01</t>
  </si>
  <si>
    <t xml:space="preserve">R3</t>
  </si>
  <si>
    <t xml:space="preserve">Verify a full update without credentials is rejected and the booking is unchanged</t>
  </si>
  <si>
    <t xml:space="preserve">Request rejected (401/403); follow-up GET shows the booking unchanged</t>
  </si>
  <si>
    <t xml:space="preserve">Status is 401 or 403; follow-up GET fields equal the original values</t>
  </si>
  <si>
    <t xml:space="preserve">TC-S04-02</t>
  </si>
  <si>
    <t xml:space="preserve">Verify a full update with an invalid token is rejected and the booking is unchanged</t>
  </si>
  <si>
    <t xml:space="preserve">Content-Type: application/json
Accept: application/json
Cookie: token=invalid-token-123</t>
  </si>
  <si>
    <t xml:space="preserve">Request rejected (401/403); booking unchanged</t>
  </si>
  <si>
    <t xml:space="preserve">TC-S04-03</t>
  </si>
  <si>
    <t xml:space="preserve">Verify a full update with valid Basic auth succeeds</t>
  </si>
  <si>
    <t xml:space="preserve">Content-Type: application/json
Accept: application/json
Authorization: Basic &lt;base64 of {{username}}:{{password}}&gt;</t>
  </si>
  <si>
    <t xml:space="preserve">200 OK; response shows the new values</t>
  </si>
  <si>
    <t xml:space="preserve">Status is 200; each field equals the values sent</t>
  </si>
  <si>
    <t xml:space="preserve">TC-S04-04</t>
  </si>
  <si>
    <t xml:space="preserve">Verify Basic auth with a wrong password is rejected on full update</t>
  </si>
  <si>
    <t xml:space="preserve">Content-Type: application/json
Accept: application/json
Authorization: Basic &lt;base64 of {{username}}:wrong-password&gt;</t>
  </si>
  <si>
    <t xml:space="preserve">TC-S04-05</t>
  </si>
  <si>
    <t xml:space="preserve">Verify a partial update without credentials is rejected and the booking is unchanged</t>
  </si>
  <si>
    <t xml:space="preserve">{"firstname": "Unauthorized"}</t>
  </si>
  <si>
    <t xml:space="preserve">Status is 401 or 403; follow-up GET firstname is unchanged</t>
  </si>
  <si>
    <t xml:space="preserve">TC-S04-06</t>
  </si>
  <si>
    <t xml:space="preserve">Verify a partial update with an invalid token is rejected</t>
  </si>
  <si>
    <t xml:space="preserve">TC-S04-07</t>
  </si>
  <si>
    <t xml:space="preserve">Verify a delete without credentials is rejected and the booking still exists</t>
  </si>
  <si>
    <t xml:space="preserve">Request rejected (401/403); follow-up GET returns 200</t>
  </si>
  <si>
    <t xml:space="preserve">Status is 401 or 403; follow-up GET status is 200</t>
  </si>
  <si>
    <t xml:space="preserve">TC-S04-08</t>
  </si>
  <si>
    <t xml:space="preserve">Verify a delete with an invalid token is rejected</t>
  </si>
  <si>
    <t xml:space="preserve">Cookie: token=invalid-token-123</t>
  </si>
  <si>
    <t xml:space="preserve">Request rejected (401/403); booking still exists</t>
  </si>
  <si>
    <t xml:space="preserve">TC-S04-09</t>
  </si>
  <si>
    <t xml:space="preserve">Verify a delete with valid Basic auth succeeds</t>
  </si>
  <si>
    <t xml:space="preserve">Authorization: Basic &lt;base64 of {{username}}:{{password}}&gt;</t>
  </si>
  <si>
    <t xml:space="preserve">Success status (2xx); follow-up GET returns 404</t>
  </si>
  <si>
    <t xml:space="preserve">Status is 2xx; follow-up GET status is 404</t>
  </si>
  <si>
    <t xml:space="preserve">TC-S04-10</t>
  </si>
  <si>
    <t xml:space="preserve">Verify a write request with no credentials returns 401 Unauthorized</t>
  </si>
  <si>
    <t xml:space="preserve">401 Unauthorized (missing credentials), not 403</t>
  </si>
  <si>
    <t xml:space="preserve">Status is 401</t>
  </si>
  <si>
    <t xml:space="preserve">TC-S05-01</t>
  </si>
  <si>
    <t xml:space="preserve">Verify filtering by firstname returns the matching booking</t>
  </si>
  <si>
    <t xml:space="preserve">A booking created by the pre-request script with a unique firstname/lastname and known dates</t>
  </si>
  <si>
    <t xml:space="preserve">GET /booking?firstname={{firstname}}</t>
  </si>
  <si>
    <t xml:space="preserve">200 OK; list contains {{bookingid}}</t>
  </si>
  <si>
    <t xml:space="preserve">Status is 200; array contains bookingid = {{bookingid}}</t>
  </si>
  <si>
    <t xml:space="preserve">TC-S05-02</t>
  </si>
  <si>
    <t xml:space="preserve">Verify filtering by lastname returns the matching booking</t>
  </si>
  <si>
    <t xml:space="preserve">Same as S05-01</t>
  </si>
  <si>
    <t xml:space="preserve">GET /booking?lastname={{lastname}}</t>
  </si>
  <si>
    <t xml:space="preserve">TC-S05-03</t>
  </si>
  <si>
    <t xml:space="preserve">Verify filtering by firstname and lastname together returns only matching bookings</t>
  </si>
  <si>
    <t xml:space="preserve">GET /booking?firstname={{firstname}}&amp;lastname={{lastname}}</t>
  </si>
  <si>
    <t xml:space="preserve">200 OK; list contains {{bookingid}}; every returned booking has that firstname and lastname</t>
  </si>
  <si>
    <t xml:space="preserve">Status is 200; contains {{bookingid}}; spot-check returned IDs match both names</t>
  </si>
  <si>
    <t xml:space="preserve">TC-S05-04</t>
  </si>
  <si>
    <t xml:space="preserve">Verify filtering by a name with no matches returns an empty list</t>
  </si>
  <si>
    <t xml:space="preserve">GET /booking?firstname=NoSuchGuest{{timestamp}}</t>
  </si>
  <si>
    <t xml:space="preserve">200 OK with an empty array</t>
  </si>
  <si>
    <t xml:space="preserve">Status is 200; array length is 0</t>
  </si>
  <si>
    <t xml:space="preserve">TC-S05-05</t>
  </si>
  <si>
    <t xml:space="preserve">Verify the checkin filter includes a booking whose checkin equals the filter date</t>
  </si>
  <si>
    <t xml:space="preserve">GET /booking?checkin=&lt;booking's checkin date&gt;</t>
  </si>
  <si>
    <t xml:space="preserve">200 OK; list contains {{bookingid}} (docs: checkin on or after the filter date)</t>
  </si>
  <si>
    <t xml:space="preserve">TC-S05-06</t>
  </si>
  <si>
    <t xml:space="preserve">Verify the checkout filter includes a booking whose checkout equals the filter date</t>
  </si>
  <si>
    <t xml:space="preserve">GET /booking?checkout=&lt;booking's checkout date&gt;</t>
  </si>
  <si>
    <t xml:space="preserve">200 OK; list contains {{bookingid}} (per the documented checkout filter rule)</t>
  </si>
  <si>
    <t xml:space="preserve">TC-S05-07</t>
  </si>
  <si>
    <t xml:space="preserve">Verify an invalid date format in a filter is rejected with 400</t>
  </si>
  <si>
    <t xml:space="preserve">GET /booking?checkin=10-10-2026</t>
  </si>
  <si>
    <t xml:space="preserve">400 Bad Request; never a 5xx</t>
  </si>
  <si>
    <t xml:space="preserve">TC-S06-01</t>
  </si>
  <si>
    <t xml:space="preserve">R7, R4</t>
  </si>
  <si>
    <t xml:space="preserve">Verify the get-booking response matches the booking schema</t>
  </si>
  <si>
    <t xml:space="preserve">Response has exactly the documented fields with the documented types</t>
  </si>
  <si>
    <t xml:space="preserve">Schema check (required fields, types, date format, no extra properties)</t>
  </si>
  <si>
    <t xml:space="preserve">TC-S06-02</t>
  </si>
  <si>
    <t xml:space="preserve">R7</t>
  </si>
  <si>
    <t xml:space="preserve">Verify the create-booking response matches the documented schema</t>
  </si>
  <si>
    <t xml:space="preserve">Response has a numeric bookingid and a booking object matching the booking schema</t>
  </si>
  <si>
    <t xml:space="preserve">Schema check on the full response</t>
  </si>
  <si>
    <t xml:space="preserve">TC-S06-03</t>
  </si>
  <si>
    <t xml:space="preserve">Verify the booking ID list matches the documented schema</t>
  </si>
  <si>
    <t xml:space="preserve">Array of objects, each with a single numeric bookingid</t>
  </si>
  <si>
    <t xml:space="preserve">Schema check (array items: bookingid integer, no extra properties)</t>
  </si>
  <si>
    <t xml:space="preserve">TC-S06-04</t>
  </si>
  <si>
    <t xml:space="preserve">Verify the auth response matches the documented schema</t>
  </si>
  <si>
    <t xml:space="preserve">Object with a single string token</t>
  </si>
  <si>
    <t xml:space="preserve">Schema check (token string, required)</t>
  </si>
  <si>
    <t xml:space="preserve">TC-S06-05</t>
  </si>
  <si>
    <t xml:space="preserve">Verify a successful delete returns 200 OK or 204 No Content</t>
  </si>
  <si>
    <t xml:space="preserve">200 OK or 204 No Content, per HTTP semantics for a completed delete</t>
  </si>
  <si>
    <t xml:space="preserve">Status is 200 or 204</t>
  </si>
  <si>
    <t xml:space="preserve">TC-S06-06</t>
  </si>
  <si>
    <t xml:space="preserve">Verify error responses do not expose internal details</t>
  </si>
  <si>
    <t xml:space="preserve">Syntactically invalid JSON</t>
  </si>
  <si>
    <t xml:space="preserve">Error response without stack traces, file paths or framework internals</t>
  </si>
  <si>
    <t xml:space="preserve">Body does not contain stack-trace patterns (e.g. ' at ', 'node_modules', file paths)</t>
  </si>
  <si>
    <t xml:space="preserve">Pass</t>
  </si>
  <si>
    <t xml:space="preserve">Fail</t>
  </si>
  <si>
    <t xml:space="preserve">N</t>
  </si>
  <si>
    <t xml:space="preserve">Known Issue</t>
  </si>
  <si>
    <t xml:space="preserve">P3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</si>
</sst>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B3F7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B3F7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3F5"/>
        <bgColor rgb="FFF7E1EE"/>
      </patternFill>
    </fill>
    <fill>
      <patternFill patternType="solid">
        <fgColor rgb="FF4B3F72"/>
        <bgColor rgb="FF333333"/>
      </patternFill>
    </fill>
    <fill>
      <patternFill patternType="solid">
        <fgColor rgb="FFF8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DD"/>
      </left>
      <right style="thin">
        <color rgb="FFC9C2DD"/>
      </right>
      <top style="thin">
        <color rgb="FFC9C2DD"/>
      </top>
      <bottom style="thin">
        <color rgb="FFC9C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3F72"/>
          <bgColor rgb="FF000000"/>
        </patternFill>
      </fill>
    </dxf>
    <dxf>
      <fill>
        <patternFill patternType="solid">
          <fgColor rgb="FFF8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A1C24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7A5B0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C2F5F"/>
      </font>
      <fill>
        <patternFill>
          <bgColor rgb="FFF7E1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9C2DD"/>
      <rgbColor rgb="FF808080"/>
      <rgbColor rgb="FF9999FF"/>
      <rgbColor rgb="FF8C2F5F"/>
      <rgbColor rgb="FFFFF3CD"/>
      <rgbColor rgb="FFF8F6FC"/>
      <rgbColor rgb="FF660066"/>
      <rgbColor rgb="FFFF8080"/>
      <rgbColor rgb="FF0066CC"/>
      <rgbColor rgb="FFE8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E1EE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1C24"/>
      <rgbColor rgb="FF993366"/>
      <rgbColor rgb="FF4B3F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10" min="7" style="0" width="10"/>
    <col collapsed="false" customWidth="true" hidden="false" outlineLevel="0" max="11" min="11" style="0" width="11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G3" s="4" t="s">
        <v>3</v>
      </c>
    </row>
    <row r="4" customFormat="false" ht="15" hidden="false" customHeight="false" outlineLevel="0" collapsed="false">
      <c r="A4" s="2" t="s">
        <v>4</v>
      </c>
      <c r="B4" s="3" t="s">
        <v>5</v>
      </c>
      <c r="C4" s="3"/>
      <c r="D4" s="3"/>
      <c r="E4" s="3"/>
      <c r="G4" s="5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  <c r="C5" s="3"/>
      <c r="D5" s="3"/>
      <c r="E5" s="3"/>
      <c r="G5" s="5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  <c r="C6" s="3"/>
      <c r="D6" s="3"/>
      <c r="E6" s="3"/>
      <c r="G6" s="5" t="s">
        <v>12</v>
      </c>
    </row>
    <row r="7" customFormat="false" ht="15" hidden="false" customHeight="false" outlineLevel="0" collapsed="false">
      <c r="A7" s="2" t="s">
        <v>13</v>
      </c>
      <c r="B7" s="3" t="s">
        <v>14</v>
      </c>
      <c r="C7" s="3"/>
      <c r="D7" s="3"/>
      <c r="E7" s="3"/>
    </row>
    <row r="8" customFormat="false" ht="15" hidden="false" customHeight="false" outlineLevel="0" collapsed="false">
      <c r="A8" s="2" t="s">
        <v>15</v>
      </c>
      <c r="B8" s="3" t="s">
        <v>16</v>
      </c>
      <c r="C8" s="3"/>
      <c r="D8" s="3"/>
      <c r="E8" s="3"/>
    </row>
    <row r="9" customFormat="false" ht="15" hidden="false" customHeight="false" outlineLevel="0" collapsed="false">
      <c r="A9" s="2" t="s">
        <v>17</v>
      </c>
      <c r="B9" s="3" t="s">
        <v>18</v>
      </c>
      <c r="C9" s="3"/>
      <c r="D9" s="3"/>
      <c r="E9" s="3"/>
    </row>
    <row r="10" customFormat="false" ht="15" hidden="false" customHeight="false" outlineLevel="0" collapsed="false">
      <c r="A10" s="2" t="s">
        <v>19</v>
      </c>
      <c r="B10" s="3" t="s">
        <v>20</v>
      </c>
      <c r="C10" s="3"/>
      <c r="D10" s="3"/>
      <c r="E10" s="3"/>
    </row>
    <row r="13" customFormat="false" ht="27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 t="s">
        <v>26</v>
      </c>
      <c r="G13" s="6" t="s">
        <v>27</v>
      </c>
      <c r="H13" s="6" t="s">
        <v>28</v>
      </c>
      <c r="I13" s="6" t="s">
        <v>29</v>
      </c>
      <c r="J13" s="6" t="s">
        <v>30</v>
      </c>
      <c r="K13" s="6" t="s">
        <v>31</v>
      </c>
    </row>
    <row r="14" customFormat="false" ht="15" hidden="false" customHeight="false" outlineLevel="0" collapsed="false">
      <c r="A14" s="7" t="s">
        <v>32</v>
      </c>
      <c r="B14" s="8" t="s">
        <v>33</v>
      </c>
      <c r="C14" s="7" t="s">
        <v>34</v>
      </c>
      <c r="D14" s="7" t="s">
        <v>35</v>
      </c>
      <c r="E14" s="7" t="s">
        <v>36</v>
      </c>
      <c r="F14" s="7" t="n">
        <f aca="false">COUNTIF('Test Cases'!$B:$B,A14)</f>
        <v>1</v>
      </c>
      <c r="G14" s="7" t="n">
        <f aca="false">COUNTIFS('Test Cases'!$B:$B,A14,'Test Cases'!$N:$N,"Pass")</f>
        <v>0</v>
      </c>
      <c r="H14" s="7" t="n">
        <f aca="false">COUNTIFS('Test Cases'!$B:$B,A14,'Test Cases'!$N:$N,"Fail")</f>
        <v>0</v>
      </c>
      <c r="I14" s="7" t="n">
        <f aca="false">COUNTIFS('Test Cases'!$B:$B,A14,'Test Cases'!$N:$N,"Blocked")</f>
        <v>0</v>
      </c>
      <c r="J14" s="7" t="n">
        <f aca="false">COUNTIFS('Test Cases'!$B:$B,A14,'Test Cases'!$N:$N,"Not Run")</f>
        <v>1</v>
      </c>
      <c r="K14" s="9" t="str">
        <f aca="false">IF((G14+H14)=0,"-",G14/(G14+H14))</f>
        <v>-</v>
      </c>
    </row>
    <row r="15" customFormat="false" ht="15" hidden="false" customHeight="false" outlineLevel="0" collapsed="false">
      <c r="A15" s="7" t="s">
        <v>37</v>
      </c>
      <c r="B15" s="8" t="s">
        <v>38</v>
      </c>
      <c r="C15" s="7" t="s">
        <v>39</v>
      </c>
      <c r="D15" s="7" t="s">
        <v>35</v>
      </c>
      <c r="E15" s="7" t="s">
        <v>36</v>
      </c>
      <c r="F15" s="7" t="n">
        <f aca="false">COUNTIF('Test Cases'!$B:$B,A15)</f>
        <v>4</v>
      </c>
      <c r="G15" s="7" t="n">
        <f aca="false">COUNTIFS('Test Cases'!$B:$B,A15,'Test Cases'!$N:$N,"Pass")</f>
        <v>0</v>
      </c>
      <c r="H15" s="7" t="n">
        <f aca="false">COUNTIFS('Test Cases'!$B:$B,A15,'Test Cases'!$N:$N,"Fail")</f>
        <v>0</v>
      </c>
      <c r="I15" s="7" t="n">
        <f aca="false">COUNTIFS('Test Cases'!$B:$B,A15,'Test Cases'!$N:$N,"Blocked")</f>
        <v>0</v>
      </c>
      <c r="J15" s="7" t="n">
        <f aca="false">COUNTIFS('Test Cases'!$B:$B,A15,'Test Cases'!$N:$N,"Not Run")</f>
        <v>4</v>
      </c>
      <c r="K15" s="9" t="str">
        <f aca="false">IF((G15+H15)=0,"-",G15/(G15+H15))</f>
        <v>-</v>
      </c>
    </row>
    <row r="16" customFormat="false" ht="15" hidden="false" customHeight="false" outlineLevel="0" collapsed="false">
      <c r="A16" s="7" t="s">
        <v>40</v>
      </c>
      <c r="B16" s="8" t="s">
        <v>41</v>
      </c>
      <c r="C16" s="7" t="s">
        <v>42</v>
      </c>
      <c r="D16" s="7" t="s">
        <v>35</v>
      </c>
      <c r="E16" s="7" t="s">
        <v>36</v>
      </c>
      <c r="F16" s="7" t="n">
        <f aca="false">COUNTIF('Test Cases'!$B:$B,A16)</f>
        <v>8</v>
      </c>
      <c r="G16" s="7" t="n">
        <f aca="false">COUNTIFS('Test Cases'!$B:$B,A16,'Test Cases'!$N:$N,"Pass")</f>
        <v>0</v>
      </c>
      <c r="H16" s="7" t="n">
        <f aca="false">COUNTIFS('Test Cases'!$B:$B,A16,'Test Cases'!$N:$N,"Fail")</f>
        <v>0</v>
      </c>
      <c r="I16" s="7" t="n">
        <f aca="false">COUNTIFS('Test Cases'!$B:$B,A16,'Test Cases'!$N:$N,"Blocked")</f>
        <v>0</v>
      </c>
      <c r="J16" s="7" t="n">
        <f aca="false">COUNTIFS('Test Cases'!$B:$B,A16,'Test Cases'!$N:$N,"Not Run")</f>
        <v>8</v>
      </c>
      <c r="K16" s="9" t="str">
        <f aca="false">IF((G16+H16)=0,"-",G16/(G16+H16))</f>
        <v>-</v>
      </c>
    </row>
    <row r="17" customFormat="false" ht="15" hidden="false" customHeight="false" outlineLevel="0" collapsed="false">
      <c r="A17" s="7" t="s">
        <v>43</v>
      </c>
      <c r="B17" s="8" t="s">
        <v>44</v>
      </c>
      <c r="C17" s="7" t="s">
        <v>45</v>
      </c>
      <c r="D17" s="7" t="s">
        <v>46</v>
      </c>
      <c r="E17" s="7" t="s">
        <v>47</v>
      </c>
      <c r="F17" s="7" t="n">
        <f aca="false">COUNTIF('Test Cases'!$B:$B,A17)</f>
        <v>18</v>
      </c>
      <c r="G17" s="7" t="n">
        <f aca="false">COUNTIFS('Test Cases'!$B:$B,A17,'Test Cases'!$N:$N,"Pass")</f>
        <v>0</v>
      </c>
      <c r="H17" s="7" t="n">
        <f aca="false">COUNTIFS('Test Cases'!$B:$B,A17,'Test Cases'!$N:$N,"Fail")</f>
        <v>0</v>
      </c>
      <c r="I17" s="7" t="n">
        <f aca="false">COUNTIFS('Test Cases'!$B:$B,A17,'Test Cases'!$N:$N,"Blocked")</f>
        <v>0</v>
      </c>
      <c r="J17" s="7" t="n">
        <f aca="false">COUNTIFS('Test Cases'!$B:$B,A17,'Test Cases'!$N:$N,"Not Run")</f>
        <v>18</v>
      </c>
      <c r="K17" s="9" t="str">
        <f aca="false">IF((G17+H17)=0,"-",G17/(G17+H17))</f>
        <v>-</v>
      </c>
    </row>
    <row r="18" customFormat="false" ht="15" hidden="false" customHeight="false" outlineLevel="0" collapsed="false">
      <c r="A18" s="7" t="s">
        <v>48</v>
      </c>
      <c r="B18" s="8" t="s">
        <v>49</v>
      </c>
      <c r="C18" s="7" t="s">
        <v>50</v>
      </c>
      <c r="D18" s="7" t="s">
        <v>46</v>
      </c>
      <c r="E18" s="7" t="s">
        <v>47</v>
      </c>
      <c r="F18" s="7" t="n">
        <f aca="false">COUNTIF('Test Cases'!$B:$B,A18)</f>
        <v>10</v>
      </c>
      <c r="G18" s="7" t="n">
        <f aca="false">COUNTIFS('Test Cases'!$B:$B,A18,'Test Cases'!$N:$N,"Pass")</f>
        <v>0</v>
      </c>
      <c r="H18" s="7" t="n">
        <f aca="false">COUNTIFS('Test Cases'!$B:$B,A18,'Test Cases'!$N:$N,"Fail")</f>
        <v>0</v>
      </c>
      <c r="I18" s="7" t="n">
        <f aca="false">COUNTIFS('Test Cases'!$B:$B,A18,'Test Cases'!$N:$N,"Blocked")</f>
        <v>0</v>
      </c>
      <c r="J18" s="7" t="n">
        <f aca="false">COUNTIFS('Test Cases'!$B:$B,A18,'Test Cases'!$N:$N,"Not Run")</f>
        <v>10</v>
      </c>
      <c r="K18" s="9" t="str">
        <f aca="false">IF((G18+H18)=0,"-",G18/(G18+H18))</f>
        <v>-</v>
      </c>
    </row>
    <row r="19" customFormat="false" ht="15" hidden="false" customHeight="false" outlineLevel="0" collapsed="false">
      <c r="A19" s="7" t="s">
        <v>51</v>
      </c>
      <c r="B19" s="8" t="s">
        <v>52</v>
      </c>
      <c r="C19" s="7" t="s">
        <v>53</v>
      </c>
      <c r="D19" s="7" t="s">
        <v>54</v>
      </c>
      <c r="E19" s="7" t="s">
        <v>47</v>
      </c>
      <c r="F19" s="7" t="n">
        <f aca="false">COUNTIF('Test Cases'!$B:$B,A19)</f>
        <v>7</v>
      </c>
      <c r="G19" s="7" t="n">
        <f aca="false">COUNTIFS('Test Cases'!$B:$B,A19,'Test Cases'!$N:$N,"Pass")</f>
        <v>0</v>
      </c>
      <c r="H19" s="7" t="n">
        <f aca="false">COUNTIFS('Test Cases'!$B:$B,A19,'Test Cases'!$N:$N,"Fail")</f>
        <v>0</v>
      </c>
      <c r="I19" s="7" t="n">
        <f aca="false">COUNTIFS('Test Cases'!$B:$B,A19,'Test Cases'!$N:$N,"Blocked")</f>
        <v>0</v>
      </c>
      <c r="J19" s="7" t="n">
        <f aca="false">COUNTIFS('Test Cases'!$B:$B,A19,'Test Cases'!$N:$N,"Not Run")</f>
        <v>7</v>
      </c>
      <c r="K19" s="9" t="str">
        <f aca="false">IF((G19+H19)=0,"-",G19/(G19+H19))</f>
        <v>-</v>
      </c>
    </row>
    <row r="20" customFormat="false" ht="15" hidden="false" customHeight="false" outlineLevel="0" collapsed="false">
      <c r="A20" s="7" t="s">
        <v>55</v>
      </c>
      <c r="B20" s="8" t="s">
        <v>56</v>
      </c>
      <c r="C20" s="7" t="s">
        <v>57</v>
      </c>
      <c r="D20" s="7" t="s">
        <v>54</v>
      </c>
      <c r="E20" s="7" t="s">
        <v>47</v>
      </c>
      <c r="F20" s="7" t="n">
        <f aca="false">COUNTIF('Test Cases'!$B:$B,A20)</f>
        <v>6</v>
      </c>
      <c r="G20" s="7" t="n">
        <f aca="false">COUNTIFS('Test Cases'!$B:$B,A20,'Test Cases'!$N:$N,"Pass")</f>
        <v>0</v>
      </c>
      <c r="H20" s="7" t="n">
        <f aca="false">COUNTIFS('Test Cases'!$B:$B,A20,'Test Cases'!$N:$N,"Fail")</f>
        <v>0</v>
      </c>
      <c r="I20" s="7" t="n">
        <f aca="false">COUNTIFS('Test Cases'!$B:$B,A20,'Test Cases'!$N:$N,"Blocked")</f>
        <v>0</v>
      </c>
      <c r="J20" s="7" t="n">
        <f aca="false">COUNTIFS('Test Cases'!$B:$B,A20,'Test Cases'!$N:$N,"Not Run")</f>
        <v>6</v>
      </c>
      <c r="K20" s="9" t="str">
        <f aca="false">IF((G20+H20)=0,"-",G20/(G20+H20))</f>
        <v>-</v>
      </c>
    </row>
    <row r="21" customFormat="false" ht="15" hidden="false" customHeight="false" outlineLevel="0" collapsed="false">
      <c r="A21" s="10" t="s">
        <v>58</v>
      </c>
      <c r="B21" s="10"/>
      <c r="C21" s="10"/>
      <c r="D21" s="10"/>
      <c r="E21" s="10"/>
      <c r="F21" s="10" t="n">
        <f aca="false">SUM(F14:F20)</f>
        <v>54</v>
      </c>
      <c r="G21" s="10" t="n">
        <f aca="false">SUM(G14:G20)</f>
        <v>0</v>
      </c>
      <c r="H21" s="10" t="n">
        <f aca="false">SUM(H14:H20)</f>
        <v>0</v>
      </c>
      <c r="I21" s="10" t="n">
        <f aca="false">SUM(I14:I20)</f>
        <v>0</v>
      </c>
      <c r="J21" s="10" t="n">
        <f aca="false">SUM(J14:J20)</f>
        <v>54</v>
      </c>
      <c r="K21" s="11" t="str">
        <f aca="false">IF((G21+H21)=0,"-",G21/(G21+H21))</f>
        <v>-</v>
      </c>
    </row>
    <row r="23" customFormat="false" ht="15" hidden="false" customHeight="false" outlineLevel="0" collapsed="false">
      <c r="A23" s="5" t="s">
        <v>59</v>
      </c>
    </row>
    <row r="24" customFormat="false" ht="15" hidden="false" customHeight="false" outlineLevel="0" collapsed="false">
      <c r="A24" s="5" t="s">
        <v>60</v>
      </c>
      <c r="F24" s="12" t="n">
        <f aca="false">COUNTIF('Test Cases'!$L:$L,"Known Issue")</f>
        <v>0</v>
      </c>
    </row>
  </sheetData>
  <mergeCells count="8">
    <mergeCell ref="B3:E3"/>
    <mergeCell ref="B4:E4"/>
    <mergeCell ref="B5:E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42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3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30"/>
    <col collapsed="false" customWidth="true" hidden="false" outlineLevel="0" max="16" min="16" style="0" width="10"/>
  </cols>
  <sheetData>
    <row r="1" customFormat="false" ht="30" hidden="false" customHeight="true" outlineLevel="0" collapsed="false">
      <c r="A1" s="6" t="s">
        <v>61</v>
      </c>
      <c r="B1" s="6" t="s">
        <v>21</v>
      </c>
      <c r="C1" s="6" t="s">
        <v>62</v>
      </c>
      <c r="D1" s="6" t="s">
        <v>63</v>
      </c>
      <c r="E1" s="6" t="s">
        <v>24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  <c r="L1" s="6" t="s">
        <v>25</v>
      </c>
      <c r="M1" s="6" t="s">
        <v>70</v>
      </c>
      <c r="N1" s="6" t="s">
        <v>71</v>
      </c>
      <c r="O1" s="6" t="s">
        <v>72</v>
      </c>
      <c r="P1" s="6" t="s">
        <v>73</v>
      </c>
    </row>
    <row r="2" customFormat="false" ht="23.85" hidden="false" customHeight="false" outlineLevel="0" collapsed="false">
      <c r="A2" s="7" t="s">
        <v>74</v>
      </c>
      <c r="B2" s="7" t="s">
        <v>32</v>
      </c>
      <c r="C2" s="7" t="s">
        <v>34</v>
      </c>
      <c r="D2" s="8" t="s">
        <v>75</v>
      </c>
      <c r="E2" s="7" t="s">
        <v>35</v>
      </c>
      <c r="F2" s="8" t="s">
        <v>76</v>
      </c>
      <c r="G2" s="8" t="s">
        <v>77</v>
      </c>
      <c r="H2" s="8" t="s">
        <v>78</v>
      </c>
      <c r="I2" s="8" t="s">
        <v>76</v>
      </c>
      <c r="J2" s="8" t="s">
        <v>79</v>
      </c>
      <c r="K2" s="8" t="s">
        <v>80</v>
      </c>
      <c r="L2" s="7" t="s">
        <v>36</v>
      </c>
      <c r="M2" s="7" t="s">
        <v>81</v>
      </c>
      <c r="N2" s="7" t="s">
        <v>30</v>
      </c>
      <c r="O2" s="8"/>
      <c r="P2" s="7"/>
    </row>
    <row r="3" customFormat="false" ht="23.85" hidden="false" customHeight="false" outlineLevel="0" collapsed="false">
      <c r="A3" s="13" t="s">
        <v>82</v>
      </c>
      <c r="B3" s="13" t="s">
        <v>37</v>
      </c>
      <c r="C3" s="13" t="s">
        <v>39</v>
      </c>
      <c r="D3" s="14" t="s">
        <v>83</v>
      </c>
      <c r="E3" s="13" t="s">
        <v>35</v>
      </c>
      <c r="F3" s="14" t="s">
        <v>76</v>
      </c>
      <c r="G3" s="14" t="s">
        <v>84</v>
      </c>
      <c r="H3" s="14" t="s">
        <v>85</v>
      </c>
      <c r="I3" s="14" t="s">
        <v>86</v>
      </c>
      <c r="J3" s="14" t="s">
        <v>87</v>
      </c>
      <c r="K3" s="14" t="s">
        <v>88</v>
      </c>
      <c r="L3" s="13" t="s">
        <v>36</v>
      </c>
      <c r="M3" s="13" t="s">
        <v>81</v>
      </c>
      <c r="N3" s="13" t="s">
        <v>30</v>
      </c>
      <c r="O3" s="14"/>
      <c r="P3" s="13"/>
    </row>
    <row r="4" customFormat="false" ht="23.85" hidden="false" customHeight="false" outlineLevel="0" collapsed="false">
      <c r="A4" s="7" t="s">
        <v>89</v>
      </c>
      <c r="B4" s="7" t="s">
        <v>37</v>
      </c>
      <c r="C4" s="7" t="s">
        <v>39</v>
      </c>
      <c r="D4" s="8" t="s">
        <v>90</v>
      </c>
      <c r="E4" s="7" t="s">
        <v>35</v>
      </c>
      <c r="F4" s="8" t="s">
        <v>76</v>
      </c>
      <c r="G4" s="8" t="s">
        <v>84</v>
      </c>
      <c r="H4" s="8" t="s">
        <v>85</v>
      </c>
      <c r="I4" s="8" t="s">
        <v>91</v>
      </c>
      <c r="J4" s="8" t="s">
        <v>92</v>
      </c>
      <c r="K4" s="8" t="s">
        <v>93</v>
      </c>
      <c r="L4" s="7" t="s">
        <v>36</v>
      </c>
      <c r="M4" s="7" t="s">
        <v>81</v>
      </c>
      <c r="N4" s="7" t="s">
        <v>30</v>
      </c>
      <c r="O4" s="8"/>
      <c r="P4" s="7"/>
    </row>
    <row r="5" customFormat="false" ht="23.85" hidden="false" customHeight="false" outlineLevel="0" collapsed="false">
      <c r="A5" s="13" t="s">
        <v>94</v>
      </c>
      <c r="B5" s="13" t="s">
        <v>37</v>
      </c>
      <c r="C5" s="13" t="s">
        <v>39</v>
      </c>
      <c r="D5" s="14" t="s">
        <v>95</v>
      </c>
      <c r="E5" s="13" t="s">
        <v>46</v>
      </c>
      <c r="F5" s="14" t="s">
        <v>76</v>
      </c>
      <c r="G5" s="14" t="s">
        <v>84</v>
      </c>
      <c r="H5" s="14" t="s">
        <v>85</v>
      </c>
      <c r="I5" s="14" t="s">
        <v>96</v>
      </c>
      <c r="J5" s="14" t="s">
        <v>92</v>
      </c>
      <c r="K5" s="14" t="s">
        <v>93</v>
      </c>
      <c r="L5" s="13" t="s">
        <v>36</v>
      </c>
      <c r="M5" s="13" t="s">
        <v>81</v>
      </c>
      <c r="N5" s="13" t="s">
        <v>30</v>
      </c>
      <c r="O5" s="14"/>
      <c r="P5" s="13"/>
    </row>
    <row r="6" customFormat="false" ht="23.85" hidden="false" customHeight="false" outlineLevel="0" collapsed="false">
      <c r="A6" s="7" t="s">
        <v>97</v>
      </c>
      <c r="B6" s="7" t="s">
        <v>37</v>
      </c>
      <c r="C6" s="7" t="s">
        <v>39</v>
      </c>
      <c r="D6" s="8" t="s">
        <v>98</v>
      </c>
      <c r="E6" s="7" t="s">
        <v>46</v>
      </c>
      <c r="F6" s="8" t="s">
        <v>76</v>
      </c>
      <c r="G6" s="8" t="s">
        <v>84</v>
      </c>
      <c r="H6" s="8" t="s">
        <v>85</v>
      </c>
      <c r="I6" s="8" t="s">
        <v>99</v>
      </c>
      <c r="J6" s="8" t="s">
        <v>100</v>
      </c>
      <c r="K6" s="8" t="s">
        <v>101</v>
      </c>
      <c r="L6" s="7" t="s">
        <v>36</v>
      </c>
      <c r="M6" s="7" t="s">
        <v>81</v>
      </c>
      <c r="N6" s="7" t="s">
        <v>30</v>
      </c>
      <c r="O6" s="8"/>
      <c r="P6" s="7"/>
    </row>
    <row r="7" customFormat="false" ht="46.25" hidden="false" customHeight="false" outlineLevel="0" collapsed="false">
      <c r="A7" s="13" t="s">
        <v>102</v>
      </c>
      <c r="B7" s="13" t="s">
        <v>40</v>
      </c>
      <c r="C7" s="13" t="s">
        <v>103</v>
      </c>
      <c r="D7" s="14" t="s">
        <v>104</v>
      </c>
      <c r="E7" s="13" t="s">
        <v>35</v>
      </c>
      <c r="F7" s="14" t="s">
        <v>76</v>
      </c>
      <c r="G7" s="14" t="s">
        <v>105</v>
      </c>
      <c r="H7" s="14" t="s">
        <v>85</v>
      </c>
      <c r="I7" s="14" t="s">
        <v>106</v>
      </c>
      <c r="J7" s="14" t="s">
        <v>107</v>
      </c>
      <c r="K7" s="14" t="s">
        <v>108</v>
      </c>
      <c r="L7" s="13" t="s">
        <v>36</v>
      </c>
      <c r="M7" s="13" t="s">
        <v>81</v>
      </c>
      <c r="N7" s="13" t="s">
        <v>30</v>
      </c>
      <c r="O7" s="14"/>
      <c r="P7" s="13"/>
    </row>
    <row r="8" customFormat="false" ht="23.85" hidden="false" customHeight="false" outlineLevel="0" collapsed="false">
      <c r="A8" s="7" t="s">
        <v>109</v>
      </c>
      <c r="B8" s="7" t="s">
        <v>40</v>
      </c>
      <c r="C8" s="7" t="s">
        <v>103</v>
      </c>
      <c r="D8" s="8" t="s">
        <v>110</v>
      </c>
      <c r="E8" s="7" t="s">
        <v>35</v>
      </c>
      <c r="F8" s="8" t="s">
        <v>111</v>
      </c>
      <c r="G8" s="8" t="s">
        <v>112</v>
      </c>
      <c r="H8" s="8" t="s">
        <v>78</v>
      </c>
      <c r="I8" s="8" t="s">
        <v>76</v>
      </c>
      <c r="J8" s="8" t="s">
        <v>113</v>
      </c>
      <c r="K8" s="8" t="s">
        <v>114</v>
      </c>
      <c r="L8" s="7" t="s">
        <v>36</v>
      </c>
      <c r="M8" s="7" t="s">
        <v>81</v>
      </c>
      <c r="N8" s="7" t="s">
        <v>30</v>
      </c>
      <c r="O8" s="8"/>
      <c r="P8" s="7"/>
    </row>
    <row r="9" customFormat="false" ht="23.85" hidden="false" customHeight="false" outlineLevel="0" collapsed="false">
      <c r="A9" s="13" t="s">
        <v>115</v>
      </c>
      <c r="B9" s="13" t="s">
        <v>40</v>
      </c>
      <c r="C9" s="13" t="s">
        <v>103</v>
      </c>
      <c r="D9" s="14" t="s">
        <v>116</v>
      </c>
      <c r="E9" s="13" t="s">
        <v>35</v>
      </c>
      <c r="F9" s="14" t="s">
        <v>117</v>
      </c>
      <c r="G9" s="14" t="s">
        <v>118</v>
      </c>
      <c r="H9" s="14" t="s">
        <v>78</v>
      </c>
      <c r="I9" s="14" t="s">
        <v>76</v>
      </c>
      <c r="J9" s="14" t="s">
        <v>119</v>
      </c>
      <c r="K9" s="14" t="s">
        <v>120</v>
      </c>
      <c r="L9" s="13" t="s">
        <v>36</v>
      </c>
      <c r="M9" s="13" t="s">
        <v>81</v>
      </c>
      <c r="N9" s="13" t="s">
        <v>30</v>
      </c>
      <c r="O9" s="14"/>
      <c r="P9" s="13"/>
    </row>
    <row r="10" customFormat="false" ht="35.05" hidden="false" customHeight="false" outlineLevel="0" collapsed="false">
      <c r="A10" s="7" t="s">
        <v>121</v>
      </c>
      <c r="B10" s="7" t="s">
        <v>40</v>
      </c>
      <c r="C10" s="7" t="s">
        <v>42</v>
      </c>
      <c r="D10" s="8" t="s">
        <v>122</v>
      </c>
      <c r="E10" s="7" t="s">
        <v>35</v>
      </c>
      <c r="F10" s="8" t="s">
        <v>123</v>
      </c>
      <c r="G10" s="8" t="s">
        <v>124</v>
      </c>
      <c r="H10" s="8" t="s">
        <v>125</v>
      </c>
      <c r="I10" s="8" t="s">
        <v>126</v>
      </c>
      <c r="J10" s="8" t="s">
        <v>127</v>
      </c>
      <c r="K10" s="8" t="s">
        <v>128</v>
      </c>
      <c r="L10" s="7" t="s">
        <v>36</v>
      </c>
      <c r="M10" s="7" t="s">
        <v>81</v>
      </c>
      <c r="N10" s="7" t="s">
        <v>30</v>
      </c>
      <c r="O10" s="8"/>
      <c r="P10" s="7"/>
    </row>
    <row r="11" customFormat="false" ht="23.85" hidden="false" customHeight="false" outlineLevel="0" collapsed="false">
      <c r="A11" s="13" t="s">
        <v>129</v>
      </c>
      <c r="B11" s="13" t="s">
        <v>40</v>
      </c>
      <c r="C11" s="13" t="s">
        <v>103</v>
      </c>
      <c r="D11" s="14" t="s">
        <v>130</v>
      </c>
      <c r="E11" s="13" t="s">
        <v>35</v>
      </c>
      <c r="F11" s="14" t="s">
        <v>131</v>
      </c>
      <c r="G11" s="14" t="s">
        <v>118</v>
      </c>
      <c r="H11" s="14" t="s">
        <v>78</v>
      </c>
      <c r="I11" s="14" t="s">
        <v>76</v>
      </c>
      <c r="J11" s="14" t="s">
        <v>132</v>
      </c>
      <c r="K11" s="14" t="s">
        <v>133</v>
      </c>
      <c r="L11" s="13" t="s">
        <v>36</v>
      </c>
      <c r="M11" s="13" t="s">
        <v>81</v>
      </c>
      <c r="N11" s="13" t="s">
        <v>30</v>
      </c>
      <c r="O11" s="14"/>
      <c r="P11" s="13"/>
    </row>
    <row r="12" customFormat="false" ht="35.05" hidden="false" customHeight="false" outlineLevel="0" collapsed="false">
      <c r="A12" s="7" t="s">
        <v>134</v>
      </c>
      <c r="B12" s="7" t="s">
        <v>40</v>
      </c>
      <c r="C12" s="7" t="s">
        <v>42</v>
      </c>
      <c r="D12" s="8" t="s">
        <v>135</v>
      </c>
      <c r="E12" s="7" t="s">
        <v>35</v>
      </c>
      <c r="F12" s="8" t="s">
        <v>136</v>
      </c>
      <c r="G12" s="8" t="s">
        <v>137</v>
      </c>
      <c r="H12" s="8" t="s">
        <v>125</v>
      </c>
      <c r="I12" s="8" t="s">
        <v>138</v>
      </c>
      <c r="J12" s="8" t="s">
        <v>139</v>
      </c>
      <c r="K12" s="8" t="s">
        <v>140</v>
      </c>
      <c r="L12" s="7" t="s">
        <v>36</v>
      </c>
      <c r="M12" s="7" t="s">
        <v>81</v>
      </c>
      <c r="N12" s="7" t="s">
        <v>30</v>
      </c>
      <c r="O12" s="8"/>
      <c r="P12" s="7"/>
    </row>
    <row r="13" customFormat="false" ht="23.85" hidden="false" customHeight="false" outlineLevel="0" collapsed="false">
      <c r="A13" s="13" t="s">
        <v>141</v>
      </c>
      <c r="B13" s="13" t="s">
        <v>40</v>
      </c>
      <c r="C13" s="13" t="s">
        <v>103</v>
      </c>
      <c r="D13" s="14" t="s">
        <v>142</v>
      </c>
      <c r="E13" s="13" t="s">
        <v>35</v>
      </c>
      <c r="F13" s="14" t="s">
        <v>143</v>
      </c>
      <c r="G13" s="14" t="s">
        <v>144</v>
      </c>
      <c r="H13" s="14" t="s">
        <v>145</v>
      </c>
      <c r="I13" s="14" t="s">
        <v>76</v>
      </c>
      <c r="J13" s="14" t="s">
        <v>146</v>
      </c>
      <c r="K13" s="14" t="s">
        <v>147</v>
      </c>
      <c r="L13" s="13" t="s">
        <v>36</v>
      </c>
      <c r="M13" s="13" t="s">
        <v>81</v>
      </c>
      <c r="N13" s="13" t="s">
        <v>30</v>
      </c>
      <c r="O13" s="14"/>
      <c r="P13" s="13"/>
    </row>
    <row r="14" customFormat="false" ht="15" hidden="false" customHeight="false" outlineLevel="0" collapsed="false">
      <c r="A14" s="7" t="s">
        <v>148</v>
      </c>
      <c r="B14" s="7" t="s">
        <v>40</v>
      </c>
      <c r="C14" s="7" t="s">
        <v>103</v>
      </c>
      <c r="D14" s="8" t="s">
        <v>149</v>
      </c>
      <c r="E14" s="7" t="s">
        <v>35</v>
      </c>
      <c r="F14" s="8" t="s">
        <v>150</v>
      </c>
      <c r="G14" s="8" t="s">
        <v>118</v>
      </c>
      <c r="H14" s="8" t="s">
        <v>78</v>
      </c>
      <c r="I14" s="8" t="s">
        <v>76</v>
      </c>
      <c r="J14" s="8" t="s">
        <v>151</v>
      </c>
      <c r="K14" s="8" t="s">
        <v>152</v>
      </c>
      <c r="L14" s="7" t="s">
        <v>36</v>
      </c>
      <c r="M14" s="7" t="s">
        <v>81</v>
      </c>
      <c r="N14" s="7" t="s">
        <v>30</v>
      </c>
      <c r="O14" s="8"/>
      <c r="P14" s="7"/>
    </row>
    <row r="15" customFormat="false" ht="23.85" hidden="false" customHeight="false" outlineLevel="0" collapsed="false">
      <c r="A15" s="13" t="s">
        <v>153</v>
      </c>
      <c r="B15" s="13" t="s">
        <v>43</v>
      </c>
      <c r="C15" s="13" t="s">
        <v>154</v>
      </c>
      <c r="D15" s="14" t="s">
        <v>155</v>
      </c>
      <c r="E15" s="13" t="s">
        <v>46</v>
      </c>
      <c r="F15" s="14" t="s">
        <v>76</v>
      </c>
      <c r="G15" s="14" t="s">
        <v>105</v>
      </c>
      <c r="H15" s="14" t="s">
        <v>85</v>
      </c>
      <c r="I15" s="14" t="s">
        <v>156</v>
      </c>
      <c r="J15" s="14" t="s">
        <v>157</v>
      </c>
      <c r="K15" s="14" t="s">
        <v>158</v>
      </c>
      <c r="L15" s="13" t="s">
        <v>47</v>
      </c>
      <c r="M15" s="13" t="s">
        <v>81</v>
      </c>
      <c r="N15" s="13" t="s">
        <v>30</v>
      </c>
      <c r="O15" s="14"/>
      <c r="P15" s="13"/>
    </row>
    <row r="16" customFormat="false" ht="23.85" hidden="false" customHeight="false" outlineLevel="0" collapsed="false">
      <c r="A16" s="7" t="s">
        <v>159</v>
      </c>
      <c r="B16" s="7" t="s">
        <v>43</v>
      </c>
      <c r="C16" s="7" t="s">
        <v>154</v>
      </c>
      <c r="D16" s="8" t="s">
        <v>160</v>
      </c>
      <c r="E16" s="7" t="s">
        <v>46</v>
      </c>
      <c r="F16" s="8" t="s">
        <v>76</v>
      </c>
      <c r="G16" s="8" t="s">
        <v>105</v>
      </c>
      <c r="H16" s="8" t="s">
        <v>85</v>
      </c>
      <c r="I16" s="8" t="s">
        <v>99</v>
      </c>
      <c r="J16" s="8" t="s">
        <v>161</v>
      </c>
      <c r="K16" s="8" t="s">
        <v>158</v>
      </c>
      <c r="L16" s="7" t="s">
        <v>47</v>
      </c>
      <c r="M16" s="7" t="s">
        <v>81</v>
      </c>
      <c r="N16" s="7" t="s">
        <v>30</v>
      </c>
      <c r="O16" s="8"/>
      <c r="P16" s="7"/>
    </row>
    <row r="17" customFormat="false" ht="23.85" hidden="false" customHeight="false" outlineLevel="0" collapsed="false">
      <c r="A17" s="13" t="s">
        <v>162</v>
      </c>
      <c r="B17" s="13" t="s">
        <v>43</v>
      </c>
      <c r="C17" s="13" t="s">
        <v>154</v>
      </c>
      <c r="D17" s="14" t="s">
        <v>163</v>
      </c>
      <c r="E17" s="13" t="s">
        <v>46</v>
      </c>
      <c r="F17" s="14" t="s">
        <v>76</v>
      </c>
      <c r="G17" s="14" t="s">
        <v>105</v>
      </c>
      <c r="H17" s="14" t="s">
        <v>85</v>
      </c>
      <c r="I17" s="14" t="s">
        <v>164</v>
      </c>
      <c r="J17" s="14" t="s">
        <v>161</v>
      </c>
      <c r="K17" s="14" t="s">
        <v>165</v>
      </c>
      <c r="L17" s="13" t="s">
        <v>47</v>
      </c>
      <c r="M17" s="13" t="s">
        <v>81</v>
      </c>
      <c r="N17" s="13" t="s">
        <v>30</v>
      </c>
      <c r="O17" s="14"/>
      <c r="P17" s="13"/>
    </row>
    <row r="18" customFormat="false" ht="23.85" hidden="false" customHeight="false" outlineLevel="0" collapsed="false">
      <c r="A18" s="7" t="s">
        <v>166</v>
      </c>
      <c r="B18" s="7" t="s">
        <v>43</v>
      </c>
      <c r="C18" s="7" t="s">
        <v>154</v>
      </c>
      <c r="D18" s="8" t="s">
        <v>167</v>
      </c>
      <c r="E18" s="7" t="s">
        <v>54</v>
      </c>
      <c r="F18" s="8" t="s">
        <v>76</v>
      </c>
      <c r="G18" s="8" t="s">
        <v>105</v>
      </c>
      <c r="H18" s="8" t="s">
        <v>85</v>
      </c>
      <c r="I18" s="8" t="s">
        <v>168</v>
      </c>
      <c r="J18" s="8" t="s">
        <v>161</v>
      </c>
      <c r="K18" s="8" t="s">
        <v>165</v>
      </c>
      <c r="L18" s="7" t="s">
        <v>47</v>
      </c>
      <c r="M18" s="7" t="s">
        <v>81</v>
      </c>
      <c r="N18" s="7" t="s">
        <v>30</v>
      </c>
      <c r="O18" s="8"/>
      <c r="P18" s="7"/>
    </row>
    <row r="19" customFormat="false" ht="23.85" hidden="false" customHeight="false" outlineLevel="0" collapsed="false">
      <c r="A19" s="13" t="s">
        <v>169</v>
      </c>
      <c r="B19" s="13" t="s">
        <v>43</v>
      </c>
      <c r="C19" s="13" t="s">
        <v>154</v>
      </c>
      <c r="D19" s="14" t="s">
        <v>170</v>
      </c>
      <c r="E19" s="13" t="s">
        <v>46</v>
      </c>
      <c r="F19" s="14" t="s">
        <v>76</v>
      </c>
      <c r="G19" s="14" t="s">
        <v>105</v>
      </c>
      <c r="H19" s="14" t="s">
        <v>85</v>
      </c>
      <c r="I19" s="14" t="s">
        <v>171</v>
      </c>
      <c r="J19" s="14" t="s">
        <v>161</v>
      </c>
      <c r="K19" s="14" t="s">
        <v>165</v>
      </c>
      <c r="L19" s="13" t="s">
        <v>47</v>
      </c>
      <c r="M19" s="13" t="s">
        <v>81</v>
      </c>
      <c r="N19" s="13" t="s">
        <v>30</v>
      </c>
      <c r="O19" s="14"/>
      <c r="P19" s="13"/>
    </row>
    <row r="20" customFormat="false" ht="23.85" hidden="false" customHeight="false" outlineLevel="0" collapsed="false">
      <c r="A20" s="7" t="s">
        <v>172</v>
      </c>
      <c r="B20" s="7" t="s">
        <v>43</v>
      </c>
      <c r="C20" s="7" t="s">
        <v>154</v>
      </c>
      <c r="D20" s="8" t="s">
        <v>173</v>
      </c>
      <c r="E20" s="7" t="s">
        <v>46</v>
      </c>
      <c r="F20" s="8" t="s">
        <v>76</v>
      </c>
      <c r="G20" s="8" t="s">
        <v>105</v>
      </c>
      <c r="H20" s="8" t="s">
        <v>85</v>
      </c>
      <c r="I20" s="8" t="s">
        <v>174</v>
      </c>
      <c r="J20" s="8" t="s">
        <v>161</v>
      </c>
      <c r="K20" s="8" t="s">
        <v>165</v>
      </c>
      <c r="L20" s="7" t="s">
        <v>47</v>
      </c>
      <c r="M20" s="7" t="s">
        <v>81</v>
      </c>
      <c r="N20" s="7" t="s">
        <v>30</v>
      </c>
      <c r="O20" s="8"/>
      <c r="P20" s="7"/>
    </row>
    <row r="21" customFormat="false" ht="23.85" hidden="false" customHeight="false" outlineLevel="0" collapsed="false">
      <c r="A21" s="13" t="s">
        <v>175</v>
      </c>
      <c r="B21" s="13" t="s">
        <v>43</v>
      </c>
      <c r="C21" s="13" t="s">
        <v>154</v>
      </c>
      <c r="D21" s="14" t="s">
        <v>176</v>
      </c>
      <c r="E21" s="13" t="s">
        <v>54</v>
      </c>
      <c r="F21" s="14" t="s">
        <v>76</v>
      </c>
      <c r="G21" s="14" t="s">
        <v>105</v>
      </c>
      <c r="H21" s="14" t="s">
        <v>85</v>
      </c>
      <c r="I21" s="14" t="s">
        <v>177</v>
      </c>
      <c r="J21" s="14" t="s">
        <v>161</v>
      </c>
      <c r="K21" s="14" t="s">
        <v>165</v>
      </c>
      <c r="L21" s="13" t="s">
        <v>47</v>
      </c>
      <c r="M21" s="13" t="s">
        <v>81</v>
      </c>
      <c r="N21" s="13" t="s">
        <v>30</v>
      </c>
      <c r="O21" s="14"/>
      <c r="P21" s="13"/>
    </row>
    <row r="22" customFormat="false" ht="23.85" hidden="false" customHeight="false" outlineLevel="0" collapsed="false">
      <c r="A22" s="7" t="s">
        <v>178</v>
      </c>
      <c r="B22" s="7" t="s">
        <v>43</v>
      </c>
      <c r="C22" s="7" t="s">
        <v>154</v>
      </c>
      <c r="D22" s="8" t="s">
        <v>179</v>
      </c>
      <c r="E22" s="7" t="s">
        <v>54</v>
      </c>
      <c r="F22" s="8" t="s">
        <v>76</v>
      </c>
      <c r="G22" s="8" t="s">
        <v>105</v>
      </c>
      <c r="H22" s="8" t="s">
        <v>85</v>
      </c>
      <c r="I22" s="8" t="s">
        <v>180</v>
      </c>
      <c r="J22" s="8" t="s">
        <v>181</v>
      </c>
      <c r="K22" s="8" t="s">
        <v>182</v>
      </c>
      <c r="L22" s="7" t="s">
        <v>47</v>
      </c>
      <c r="M22" s="7" t="s">
        <v>81</v>
      </c>
      <c r="N22" s="7" t="s">
        <v>30</v>
      </c>
      <c r="O22" s="8"/>
      <c r="P22" s="7"/>
    </row>
    <row r="23" customFormat="false" ht="23.85" hidden="false" customHeight="false" outlineLevel="0" collapsed="false">
      <c r="A23" s="13" t="s">
        <v>183</v>
      </c>
      <c r="B23" s="13" t="s">
        <v>43</v>
      </c>
      <c r="C23" s="13" t="s">
        <v>184</v>
      </c>
      <c r="D23" s="14" t="s">
        <v>185</v>
      </c>
      <c r="E23" s="13" t="s">
        <v>46</v>
      </c>
      <c r="F23" s="14" t="s">
        <v>76</v>
      </c>
      <c r="G23" s="14" t="s">
        <v>105</v>
      </c>
      <c r="H23" s="14" t="s">
        <v>85</v>
      </c>
      <c r="I23" s="14" t="s">
        <v>186</v>
      </c>
      <c r="J23" s="14" t="s">
        <v>187</v>
      </c>
      <c r="K23" s="14" t="s">
        <v>165</v>
      </c>
      <c r="L23" s="13" t="s">
        <v>47</v>
      </c>
      <c r="M23" s="13" t="s">
        <v>81</v>
      </c>
      <c r="N23" s="13" t="s">
        <v>30</v>
      </c>
      <c r="O23" s="14"/>
      <c r="P23" s="13"/>
    </row>
    <row r="24" customFormat="false" ht="35.05" hidden="false" customHeight="false" outlineLevel="0" collapsed="false">
      <c r="A24" s="7" t="s">
        <v>188</v>
      </c>
      <c r="B24" s="7" t="s">
        <v>43</v>
      </c>
      <c r="C24" s="7" t="s">
        <v>189</v>
      </c>
      <c r="D24" s="8" t="s">
        <v>190</v>
      </c>
      <c r="E24" s="7" t="s">
        <v>46</v>
      </c>
      <c r="F24" s="8" t="s">
        <v>191</v>
      </c>
      <c r="G24" s="8" t="s">
        <v>124</v>
      </c>
      <c r="H24" s="8" t="s">
        <v>125</v>
      </c>
      <c r="I24" s="8" t="s">
        <v>192</v>
      </c>
      <c r="J24" s="8" t="s">
        <v>193</v>
      </c>
      <c r="K24" s="8" t="s">
        <v>194</v>
      </c>
      <c r="L24" s="7" t="s">
        <v>47</v>
      </c>
      <c r="M24" s="7" t="s">
        <v>81</v>
      </c>
      <c r="N24" s="7" t="s">
        <v>30</v>
      </c>
      <c r="O24" s="8"/>
      <c r="P24" s="7"/>
    </row>
    <row r="25" customFormat="false" ht="35.05" hidden="false" customHeight="false" outlineLevel="0" collapsed="false">
      <c r="A25" s="13" t="s">
        <v>195</v>
      </c>
      <c r="B25" s="13" t="s">
        <v>43</v>
      </c>
      <c r="C25" s="13" t="s">
        <v>189</v>
      </c>
      <c r="D25" s="14" t="s">
        <v>196</v>
      </c>
      <c r="E25" s="13" t="s">
        <v>54</v>
      </c>
      <c r="F25" s="14" t="s">
        <v>191</v>
      </c>
      <c r="G25" s="14" t="s">
        <v>137</v>
      </c>
      <c r="H25" s="14" t="s">
        <v>125</v>
      </c>
      <c r="I25" s="14" t="s">
        <v>99</v>
      </c>
      <c r="J25" s="14" t="s">
        <v>197</v>
      </c>
      <c r="K25" s="14" t="s">
        <v>198</v>
      </c>
      <c r="L25" s="13" t="s">
        <v>47</v>
      </c>
      <c r="M25" s="13" t="s">
        <v>81</v>
      </c>
      <c r="N25" s="13" t="s">
        <v>30</v>
      </c>
      <c r="O25" s="14"/>
      <c r="P25" s="13"/>
    </row>
    <row r="26" customFormat="false" ht="35.05" hidden="false" customHeight="false" outlineLevel="0" collapsed="false">
      <c r="A26" s="7" t="s">
        <v>199</v>
      </c>
      <c r="B26" s="7" t="s">
        <v>43</v>
      </c>
      <c r="C26" s="7" t="s">
        <v>200</v>
      </c>
      <c r="D26" s="8" t="s">
        <v>201</v>
      </c>
      <c r="E26" s="7" t="s">
        <v>54</v>
      </c>
      <c r="F26" s="8" t="s">
        <v>191</v>
      </c>
      <c r="G26" s="8" t="s">
        <v>137</v>
      </c>
      <c r="H26" s="8" t="s">
        <v>125</v>
      </c>
      <c r="I26" s="8" t="s">
        <v>202</v>
      </c>
      <c r="J26" s="8" t="s">
        <v>203</v>
      </c>
      <c r="K26" s="8" t="s">
        <v>194</v>
      </c>
      <c r="L26" s="7" t="s">
        <v>47</v>
      </c>
      <c r="M26" s="7" t="s">
        <v>81</v>
      </c>
      <c r="N26" s="7" t="s">
        <v>30</v>
      </c>
      <c r="O26" s="8"/>
      <c r="P26" s="7"/>
    </row>
    <row r="27" customFormat="false" ht="46.25" hidden="false" customHeight="false" outlineLevel="0" collapsed="false">
      <c r="A27" s="13" t="s">
        <v>204</v>
      </c>
      <c r="B27" s="13" t="s">
        <v>43</v>
      </c>
      <c r="C27" s="13" t="s">
        <v>189</v>
      </c>
      <c r="D27" s="14" t="s">
        <v>205</v>
      </c>
      <c r="E27" s="13" t="s">
        <v>54</v>
      </c>
      <c r="F27" s="14" t="s">
        <v>206</v>
      </c>
      <c r="G27" s="14" t="s">
        <v>207</v>
      </c>
      <c r="H27" s="14" t="s">
        <v>125</v>
      </c>
      <c r="I27" s="14" t="s">
        <v>106</v>
      </c>
      <c r="J27" s="14" t="s">
        <v>208</v>
      </c>
      <c r="K27" s="14" t="s">
        <v>152</v>
      </c>
      <c r="L27" s="13" t="s">
        <v>47</v>
      </c>
      <c r="M27" s="13" t="s">
        <v>81</v>
      </c>
      <c r="N27" s="13" t="s">
        <v>30</v>
      </c>
      <c r="O27" s="14"/>
      <c r="P27" s="13"/>
    </row>
    <row r="28" customFormat="false" ht="35.05" hidden="false" customHeight="false" outlineLevel="0" collapsed="false">
      <c r="A28" s="7" t="s">
        <v>209</v>
      </c>
      <c r="B28" s="7" t="s">
        <v>43</v>
      </c>
      <c r="C28" s="7" t="s">
        <v>189</v>
      </c>
      <c r="D28" s="8" t="s">
        <v>210</v>
      </c>
      <c r="E28" s="7" t="s">
        <v>54</v>
      </c>
      <c r="F28" s="8" t="s">
        <v>211</v>
      </c>
      <c r="G28" s="8" t="s">
        <v>144</v>
      </c>
      <c r="H28" s="8" t="s">
        <v>145</v>
      </c>
      <c r="I28" s="8" t="s">
        <v>76</v>
      </c>
      <c r="J28" s="8" t="s">
        <v>151</v>
      </c>
      <c r="K28" s="8" t="s">
        <v>152</v>
      </c>
      <c r="L28" s="7" t="s">
        <v>47</v>
      </c>
      <c r="M28" s="7" t="s">
        <v>81</v>
      </c>
      <c r="N28" s="7" t="s">
        <v>30</v>
      </c>
      <c r="O28" s="8"/>
      <c r="P28" s="7"/>
    </row>
    <row r="29" customFormat="false" ht="23.85" hidden="false" customHeight="false" outlineLevel="0" collapsed="false">
      <c r="A29" s="13" t="s">
        <v>212</v>
      </c>
      <c r="B29" s="13" t="s">
        <v>43</v>
      </c>
      <c r="C29" s="13" t="s">
        <v>189</v>
      </c>
      <c r="D29" s="14" t="s">
        <v>213</v>
      </c>
      <c r="E29" s="13" t="s">
        <v>54</v>
      </c>
      <c r="F29" s="14" t="s">
        <v>76</v>
      </c>
      <c r="G29" s="14" t="s">
        <v>214</v>
      </c>
      <c r="H29" s="14" t="s">
        <v>78</v>
      </c>
      <c r="I29" s="14" t="s">
        <v>76</v>
      </c>
      <c r="J29" s="14" t="s">
        <v>215</v>
      </c>
      <c r="K29" s="14" t="s">
        <v>216</v>
      </c>
      <c r="L29" s="13" t="s">
        <v>47</v>
      </c>
      <c r="M29" s="13" t="s">
        <v>81</v>
      </c>
      <c r="N29" s="13" t="s">
        <v>30</v>
      </c>
      <c r="O29" s="14"/>
      <c r="P29" s="13"/>
    </row>
    <row r="30" customFormat="false" ht="23.85" hidden="false" customHeight="false" outlineLevel="0" collapsed="false">
      <c r="A30" s="7" t="s">
        <v>217</v>
      </c>
      <c r="B30" s="7" t="s">
        <v>43</v>
      </c>
      <c r="C30" s="7" t="s">
        <v>218</v>
      </c>
      <c r="D30" s="8" t="s">
        <v>219</v>
      </c>
      <c r="E30" s="7" t="s">
        <v>54</v>
      </c>
      <c r="F30" s="8" t="s">
        <v>220</v>
      </c>
      <c r="G30" s="8" t="s">
        <v>118</v>
      </c>
      <c r="H30" s="8" t="s">
        <v>221</v>
      </c>
      <c r="I30" s="8" t="s">
        <v>76</v>
      </c>
      <c r="J30" s="8" t="s">
        <v>222</v>
      </c>
      <c r="K30" s="8" t="s">
        <v>223</v>
      </c>
      <c r="L30" s="7" t="s">
        <v>47</v>
      </c>
      <c r="M30" s="7" t="s">
        <v>81</v>
      </c>
      <c r="N30" s="7" t="s">
        <v>30</v>
      </c>
      <c r="O30" s="8"/>
      <c r="P30" s="7"/>
    </row>
    <row r="31" customFormat="false" ht="23.85" hidden="false" customHeight="false" outlineLevel="0" collapsed="false">
      <c r="A31" s="13" t="s">
        <v>224</v>
      </c>
      <c r="B31" s="13" t="s">
        <v>43</v>
      </c>
      <c r="C31" s="13" t="s">
        <v>218</v>
      </c>
      <c r="D31" s="14" t="s">
        <v>225</v>
      </c>
      <c r="E31" s="13" t="s">
        <v>54</v>
      </c>
      <c r="F31" s="14" t="s">
        <v>220</v>
      </c>
      <c r="G31" s="14" t="s">
        <v>118</v>
      </c>
      <c r="H31" s="14" t="s">
        <v>226</v>
      </c>
      <c r="I31" s="14" t="s">
        <v>76</v>
      </c>
      <c r="J31" s="14" t="s">
        <v>227</v>
      </c>
      <c r="K31" s="14" t="s">
        <v>228</v>
      </c>
      <c r="L31" s="13" t="s">
        <v>47</v>
      </c>
      <c r="M31" s="13" t="s">
        <v>81</v>
      </c>
      <c r="N31" s="13" t="s">
        <v>30</v>
      </c>
      <c r="O31" s="14"/>
      <c r="P31" s="13"/>
    </row>
    <row r="32" customFormat="false" ht="23.85" hidden="false" customHeight="false" outlineLevel="0" collapsed="false">
      <c r="A32" s="7" t="s">
        <v>229</v>
      </c>
      <c r="B32" s="7" t="s">
        <v>43</v>
      </c>
      <c r="C32" s="7" t="s">
        <v>218</v>
      </c>
      <c r="D32" s="8" t="s">
        <v>230</v>
      </c>
      <c r="E32" s="7" t="s">
        <v>54</v>
      </c>
      <c r="F32" s="8" t="s">
        <v>76</v>
      </c>
      <c r="G32" s="8" t="s">
        <v>105</v>
      </c>
      <c r="H32" s="8" t="s">
        <v>231</v>
      </c>
      <c r="I32" s="8" t="s">
        <v>232</v>
      </c>
      <c r="J32" s="8" t="s">
        <v>233</v>
      </c>
      <c r="K32" s="8" t="s">
        <v>234</v>
      </c>
      <c r="L32" s="7" t="s">
        <v>47</v>
      </c>
      <c r="M32" s="7" t="s">
        <v>81</v>
      </c>
      <c r="N32" s="7" t="s">
        <v>30</v>
      </c>
      <c r="O32" s="8"/>
      <c r="P32" s="7"/>
    </row>
    <row r="33" customFormat="false" ht="46.25" hidden="false" customHeight="false" outlineLevel="0" collapsed="false">
      <c r="A33" s="13" t="s">
        <v>235</v>
      </c>
      <c r="B33" s="13" t="s">
        <v>48</v>
      </c>
      <c r="C33" s="13" t="s">
        <v>236</v>
      </c>
      <c r="D33" s="14" t="s">
        <v>237</v>
      </c>
      <c r="E33" s="13" t="s">
        <v>35</v>
      </c>
      <c r="F33" s="14" t="s">
        <v>220</v>
      </c>
      <c r="G33" s="14" t="s">
        <v>124</v>
      </c>
      <c r="H33" s="14" t="s">
        <v>85</v>
      </c>
      <c r="I33" s="14" t="s">
        <v>106</v>
      </c>
      <c r="J33" s="14" t="s">
        <v>238</v>
      </c>
      <c r="K33" s="14" t="s">
        <v>239</v>
      </c>
      <c r="L33" s="13" t="s">
        <v>47</v>
      </c>
      <c r="M33" s="13" t="s">
        <v>81</v>
      </c>
      <c r="N33" s="13" t="s">
        <v>30</v>
      </c>
      <c r="O33" s="14"/>
      <c r="P33" s="13"/>
    </row>
    <row r="34" customFormat="false" ht="46.25" hidden="false" customHeight="false" outlineLevel="0" collapsed="false">
      <c r="A34" s="7" t="s">
        <v>240</v>
      </c>
      <c r="B34" s="7" t="s">
        <v>48</v>
      </c>
      <c r="C34" s="7" t="s">
        <v>236</v>
      </c>
      <c r="D34" s="8" t="s">
        <v>241</v>
      </c>
      <c r="E34" s="7" t="s">
        <v>35</v>
      </c>
      <c r="F34" s="8" t="s">
        <v>220</v>
      </c>
      <c r="G34" s="8" t="s">
        <v>124</v>
      </c>
      <c r="H34" s="8" t="s">
        <v>242</v>
      </c>
      <c r="I34" s="8" t="s">
        <v>106</v>
      </c>
      <c r="J34" s="8" t="s">
        <v>243</v>
      </c>
      <c r="K34" s="8" t="s">
        <v>239</v>
      </c>
      <c r="L34" s="7" t="s">
        <v>47</v>
      </c>
      <c r="M34" s="7" t="s">
        <v>81</v>
      </c>
      <c r="N34" s="7" t="s">
        <v>30</v>
      </c>
      <c r="O34" s="8"/>
      <c r="P34" s="7"/>
    </row>
    <row r="35" customFormat="false" ht="46.25" hidden="false" customHeight="false" outlineLevel="0" collapsed="false">
      <c r="A35" s="13" t="s">
        <v>244</v>
      </c>
      <c r="B35" s="13" t="s">
        <v>48</v>
      </c>
      <c r="C35" s="13" t="s">
        <v>236</v>
      </c>
      <c r="D35" s="14" t="s">
        <v>245</v>
      </c>
      <c r="E35" s="13" t="s">
        <v>46</v>
      </c>
      <c r="F35" s="14" t="s">
        <v>220</v>
      </c>
      <c r="G35" s="14" t="s">
        <v>124</v>
      </c>
      <c r="H35" s="14" t="s">
        <v>246</v>
      </c>
      <c r="I35" s="14" t="s">
        <v>106</v>
      </c>
      <c r="J35" s="14" t="s">
        <v>247</v>
      </c>
      <c r="K35" s="14" t="s">
        <v>248</v>
      </c>
      <c r="L35" s="13" t="s">
        <v>47</v>
      </c>
      <c r="M35" s="13" t="s">
        <v>81</v>
      </c>
      <c r="N35" s="13" t="s">
        <v>30</v>
      </c>
      <c r="O35" s="14"/>
      <c r="P35" s="13"/>
    </row>
    <row r="36" customFormat="false" ht="46.25" hidden="false" customHeight="false" outlineLevel="0" collapsed="false">
      <c r="A36" s="7" t="s">
        <v>249</v>
      </c>
      <c r="B36" s="7" t="s">
        <v>48</v>
      </c>
      <c r="C36" s="7" t="s">
        <v>236</v>
      </c>
      <c r="D36" s="8" t="s">
        <v>250</v>
      </c>
      <c r="E36" s="7" t="s">
        <v>46</v>
      </c>
      <c r="F36" s="8" t="s">
        <v>220</v>
      </c>
      <c r="G36" s="8" t="s">
        <v>124</v>
      </c>
      <c r="H36" s="8" t="s">
        <v>251</v>
      </c>
      <c r="I36" s="8" t="s">
        <v>106</v>
      </c>
      <c r="J36" s="8" t="s">
        <v>243</v>
      </c>
      <c r="K36" s="8" t="s">
        <v>239</v>
      </c>
      <c r="L36" s="7" t="s">
        <v>47</v>
      </c>
      <c r="M36" s="7" t="s">
        <v>81</v>
      </c>
      <c r="N36" s="7" t="s">
        <v>30</v>
      </c>
      <c r="O36" s="8"/>
      <c r="P36" s="7"/>
    </row>
    <row r="37" customFormat="false" ht="23.85" hidden="false" customHeight="false" outlineLevel="0" collapsed="false">
      <c r="A37" s="13" t="s">
        <v>252</v>
      </c>
      <c r="B37" s="13" t="s">
        <v>48</v>
      </c>
      <c r="C37" s="13" t="s">
        <v>236</v>
      </c>
      <c r="D37" s="14" t="s">
        <v>253</v>
      </c>
      <c r="E37" s="13" t="s">
        <v>35</v>
      </c>
      <c r="F37" s="14" t="s">
        <v>220</v>
      </c>
      <c r="G37" s="14" t="s">
        <v>137</v>
      </c>
      <c r="H37" s="14" t="s">
        <v>85</v>
      </c>
      <c r="I37" s="14" t="s">
        <v>254</v>
      </c>
      <c r="J37" s="14" t="s">
        <v>243</v>
      </c>
      <c r="K37" s="14" t="s">
        <v>255</v>
      </c>
      <c r="L37" s="13" t="s">
        <v>47</v>
      </c>
      <c r="M37" s="13" t="s">
        <v>81</v>
      </c>
      <c r="N37" s="13" t="s">
        <v>30</v>
      </c>
      <c r="O37" s="14"/>
      <c r="P37" s="13"/>
    </row>
    <row r="38" customFormat="false" ht="35.05" hidden="false" customHeight="false" outlineLevel="0" collapsed="false">
      <c r="A38" s="7" t="s">
        <v>256</v>
      </c>
      <c r="B38" s="7" t="s">
        <v>48</v>
      </c>
      <c r="C38" s="7" t="s">
        <v>236</v>
      </c>
      <c r="D38" s="8" t="s">
        <v>257</v>
      </c>
      <c r="E38" s="7" t="s">
        <v>46</v>
      </c>
      <c r="F38" s="8" t="s">
        <v>220</v>
      </c>
      <c r="G38" s="8" t="s">
        <v>137</v>
      </c>
      <c r="H38" s="8" t="s">
        <v>242</v>
      </c>
      <c r="I38" s="8" t="s">
        <v>254</v>
      </c>
      <c r="J38" s="8" t="s">
        <v>243</v>
      </c>
      <c r="K38" s="8" t="s">
        <v>255</v>
      </c>
      <c r="L38" s="7" t="s">
        <v>47</v>
      </c>
      <c r="M38" s="7" t="s">
        <v>81</v>
      </c>
      <c r="N38" s="7" t="s">
        <v>30</v>
      </c>
      <c r="O38" s="8"/>
      <c r="P38" s="7"/>
    </row>
    <row r="39" customFormat="false" ht="23.85" hidden="false" customHeight="false" outlineLevel="0" collapsed="false">
      <c r="A39" s="13" t="s">
        <v>258</v>
      </c>
      <c r="B39" s="13" t="s">
        <v>48</v>
      </c>
      <c r="C39" s="13" t="s">
        <v>236</v>
      </c>
      <c r="D39" s="14" t="s">
        <v>259</v>
      </c>
      <c r="E39" s="13" t="s">
        <v>35</v>
      </c>
      <c r="F39" s="14" t="s">
        <v>220</v>
      </c>
      <c r="G39" s="14" t="s">
        <v>144</v>
      </c>
      <c r="H39" s="14" t="s">
        <v>76</v>
      </c>
      <c r="I39" s="14" t="s">
        <v>76</v>
      </c>
      <c r="J39" s="14" t="s">
        <v>260</v>
      </c>
      <c r="K39" s="14" t="s">
        <v>261</v>
      </c>
      <c r="L39" s="13" t="s">
        <v>47</v>
      </c>
      <c r="M39" s="13" t="s">
        <v>81</v>
      </c>
      <c r="N39" s="13" t="s">
        <v>30</v>
      </c>
      <c r="O39" s="14"/>
      <c r="P39" s="13"/>
    </row>
    <row r="40" customFormat="false" ht="23.85" hidden="false" customHeight="false" outlineLevel="0" collapsed="false">
      <c r="A40" s="7" t="s">
        <v>262</v>
      </c>
      <c r="B40" s="7" t="s">
        <v>48</v>
      </c>
      <c r="C40" s="7" t="s">
        <v>236</v>
      </c>
      <c r="D40" s="8" t="s">
        <v>263</v>
      </c>
      <c r="E40" s="7" t="s">
        <v>46</v>
      </c>
      <c r="F40" s="8" t="s">
        <v>220</v>
      </c>
      <c r="G40" s="8" t="s">
        <v>144</v>
      </c>
      <c r="H40" s="8" t="s">
        <v>264</v>
      </c>
      <c r="I40" s="8" t="s">
        <v>76</v>
      </c>
      <c r="J40" s="8" t="s">
        <v>265</v>
      </c>
      <c r="K40" s="8" t="s">
        <v>261</v>
      </c>
      <c r="L40" s="7" t="s">
        <v>47</v>
      </c>
      <c r="M40" s="7" t="s">
        <v>81</v>
      </c>
      <c r="N40" s="7" t="s">
        <v>30</v>
      </c>
      <c r="O40" s="8"/>
      <c r="P40" s="7"/>
    </row>
    <row r="41" customFormat="false" ht="23.85" hidden="false" customHeight="false" outlineLevel="0" collapsed="false">
      <c r="A41" s="13" t="s">
        <v>266</v>
      </c>
      <c r="B41" s="13" t="s">
        <v>48</v>
      </c>
      <c r="C41" s="13" t="s">
        <v>236</v>
      </c>
      <c r="D41" s="14" t="s">
        <v>267</v>
      </c>
      <c r="E41" s="13" t="s">
        <v>46</v>
      </c>
      <c r="F41" s="14" t="s">
        <v>220</v>
      </c>
      <c r="G41" s="14" t="s">
        <v>144</v>
      </c>
      <c r="H41" s="14" t="s">
        <v>268</v>
      </c>
      <c r="I41" s="14" t="s">
        <v>76</v>
      </c>
      <c r="J41" s="14" t="s">
        <v>269</v>
      </c>
      <c r="K41" s="14" t="s">
        <v>270</v>
      </c>
      <c r="L41" s="13" t="s">
        <v>47</v>
      </c>
      <c r="M41" s="13" t="s">
        <v>81</v>
      </c>
      <c r="N41" s="13" t="s">
        <v>30</v>
      </c>
      <c r="O41" s="14"/>
      <c r="P41" s="13"/>
    </row>
    <row r="42" customFormat="false" ht="46.25" hidden="false" customHeight="false" outlineLevel="0" collapsed="false">
      <c r="A42" s="7" t="s">
        <v>271</v>
      </c>
      <c r="B42" s="7" t="s">
        <v>48</v>
      </c>
      <c r="C42" s="7" t="s">
        <v>50</v>
      </c>
      <c r="D42" s="8" t="s">
        <v>272</v>
      </c>
      <c r="E42" s="7" t="s">
        <v>54</v>
      </c>
      <c r="F42" s="8" t="s">
        <v>220</v>
      </c>
      <c r="G42" s="8" t="s">
        <v>124</v>
      </c>
      <c r="H42" s="8" t="s">
        <v>85</v>
      </c>
      <c r="I42" s="8" t="s">
        <v>106</v>
      </c>
      <c r="J42" s="8" t="s">
        <v>273</v>
      </c>
      <c r="K42" s="8" t="s">
        <v>274</v>
      </c>
      <c r="L42" s="7" t="s">
        <v>47</v>
      </c>
      <c r="M42" s="7" t="s">
        <v>81</v>
      </c>
      <c r="N42" s="7" t="s">
        <v>30</v>
      </c>
      <c r="O42" s="8"/>
      <c r="P42" s="7"/>
    </row>
    <row r="43" customFormat="false" ht="35.05" hidden="false" customHeight="false" outlineLevel="0" collapsed="false">
      <c r="A43" s="13" t="s">
        <v>275</v>
      </c>
      <c r="B43" s="13" t="s">
        <v>51</v>
      </c>
      <c r="C43" s="13" t="s">
        <v>53</v>
      </c>
      <c r="D43" s="14" t="s">
        <v>276</v>
      </c>
      <c r="E43" s="13" t="s">
        <v>46</v>
      </c>
      <c r="F43" s="14" t="s">
        <v>277</v>
      </c>
      <c r="G43" s="14" t="s">
        <v>278</v>
      </c>
      <c r="H43" s="14" t="s">
        <v>78</v>
      </c>
      <c r="I43" s="14" t="s">
        <v>76</v>
      </c>
      <c r="J43" s="14" t="s">
        <v>279</v>
      </c>
      <c r="K43" s="14" t="s">
        <v>280</v>
      </c>
      <c r="L43" s="13" t="s">
        <v>47</v>
      </c>
      <c r="M43" s="13" t="s">
        <v>81</v>
      </c>
      <c r="N43" s="13" t="s">
        <v>30</v>
      </c>
      <c r="O43" s="14"/>
      <c r="P43" s="13"/>
    </row>
    <row r="44" customFormat="false" ht="23.85" hidden="false" customHeight="false" outlineLevel="0" collapsed="false">
      <c r="A44" s="7" t="s">
        <v>281</v>
      </c>
      <c r="B44" s="7" t="s">
        <v>51</v>
      </c>
      <c r="C44" s="7" t="s">
        <v>53</v>
      </c>
      <c r="D44" s="8" t="s">
        <v>282</v>
      </c>
      <c r="E44" s="7" t="s">
        <v>46</v>
      </c>
      <c r="F44" s="8" t="s">
        <v>283</v>
      </c>
      <c r="G44" s="8" t="s">
        <v>284</v>
      </c>
      <c r="H44" s="8" t="s">
        <v>78</v>
      </c>
      <c r="I44" s="8" t="s">
        <v>76</v>
      </c>
      <c r="J44" s="8" t="s">
        <v>279</v>
      </c>
      <c r="K44" s="8" t="s">
        <v>280</v>
      </c>
      <c r="L44" s="7" t="s">
        <v>47</v>
      </c>
      <c r="M44" s="7" t="s">
        <v>81</v>
      </c>
      <c r="N44" s="7" t="s">
        <v>30</v>
      </c>
      <c r="O44" s="8"/>
      <c r="P44" s="7"/>
    </row>
    <row r="45" customFormat="false" ht="35.05" hidden="false" customHeight="false" outlineLevel="0" collapsed="false">
      <c r="A45" s="13" t="s">
        <v>285</v>
      </c>
      <c r="B45" s="13" t="s">
        <v>51</v>
      </c>
      <c r="C45" s="13" t="s">
        <v>53</v>
      </c>
      <c r="D45" s="14" t="s">
        <v>286</v>
      </c>
      <c r="E45" s="13" t="s">
        <v>46</v>
      </c>
      <c r="F45" s="14" t="s">
        <v>283</v>
      </c>
      <c r="G45" s="14" t="s">
        <v>287</v>
      </c>
      <c r="H45" s="14" t="s">
        <v>78</v>
      </c>
      <c r="I45" s="14" t="s">
        <v>76</v>
      </c>
      <c r="J45" s="14" t="s">
        <v>288</v>
      </c>
      <c r="K45" s="14" t="s">
        <v>289</v>
      </c>
      <c r="L45" s="13" t="s">
        <v>47</v>
      </c>
      <c r="M45" s="13" t="s">
        <v>81</v>
      </c>
      <c r="N45" s="13" t="s">
        <v>30</v>
      </c>
      <c r="O45" s="14"/>
      <c r="P45" s="13"/>
    </row>
    <row r="46" customFormat="false" ht="35.05" hidden="false" customHeight="false" outlineLevel="0" collapsed="false">
      <c r="A46" s="7" t="s">
        <v>290</v>
      </c>
      <c r="B46" s="7" t="s">
        <v>51</v>
      </c>
      <c r="C46" s="7" t="s">
        <v>53</v>
      </c>
      <c r="D46" s="8" t="s">
        <v>291</v>
      </c>
      <c r="E46" s="7" t="s">
        <v>54</v>
      </c>
      <c r="F46" s="8" t="s">
        <v>76</v>
      </c>
      <c r="G46" s="8" t="s">
        <v>292</v>
      </c>
      <c r="H46" s="8" t="s">
        <v>78</v>
      </c>
      <c r="I46" s="8" t="s">
        <v>76</v>
      </c>
      <c r="J46" s="8" t="s">
        <v>293</v>
      </c>
      <c r="K46" s="8" t="s">
        <v>294</v>
      </c>
      <c r="L46" s="7" t="s">
        <v>47</v>
      </c>
      <c r="M46" s="7" t="s">
        <v>81</v>
      </c>
      <c r="N46" s="7" t="s">
        <v>30</v>
      </c>
      <c r="O46" s="8"/>
      <c r="P46" s="7"/>
    </row>
    <row r="47" customFormat="false" ht="23.85" hidden="false" customHeight="false" outlineLevel="0" collapsed="false">
      <c r="A47" s="13" t="s">
        <v>295</v>
      </c>
      <c r="B47" s="13" t="s">
        <v>51</v>
      </c>
      <c r="C47" s="13" t="s">
        <v>53</v>
      </c>
      <c r="D47" s="14" t="s">
        <v>296</v>
      </c>
      <c r="E47" s="13" t="s">
        <v>46</v>
      </c>
      <c r="F47" s="14" t="s">
        <v>283</v>
      </c>
      <c r="G47" s="14" t="s">
        <v>297</v>
      </c>
      <c r="H47" s="14" t="s">
        <v>78</v>
      </c>
      <c r="I47" s="14" t="s">
        <v>76</v>
      </c>
      <c r="J47" s="14" t="s">
        <v>298</v>
      </c>
      <c r="K47" s="14" t="s">
        <v>280</v>
      </c>
      <c r="L47" s="13" t="s">
        <v>47</v>
      </c>
      <c r="M47" s="13" t="s">
        <v>81</v>
      </c>
      <c r="N47" s="13" t="s">
        <v>30</v>
      </c>
      <c r="O47" s="14"/>
      <c r="P47" s="13"/>
    </row>
    <row r="48" customFormat="false" ht="35.05" hidden="false" customHeight="false" outlineLevel="0" collapsed="false">
      <c r="A48" s="7" t="s">
        <v>299</v>
      </c>
      <c r="B48" s="7" t="s">
        <v>51</v>
      </c>
      <c r="C48" s="7" t="s">
        <v>53</v>
      </c>
      <c r="D48" s="8" t="s">
        <v>300</v>
      </c>
      <c r="E48" s="7" t="s">
        <v>54</v>
      </c>
      <c r="F48" s="8" t="s">
        <v>283</v>
      </c>
      <c r="G48" s="8" t="s">
        <v>301</v>
      </c>
      <c r="H48" s="8" t="s">
        <v>78</v>
      </c>
      <c r="I48" s="8" t="s">
        <v>76</v>
      </c>
      <c r="J48" s="8" t="s">
        <v>302</v>
      </c>
      <c r="K48" s="8" t="s">
        <v>280</v>
      </c>
      <c r="L48" s="7" t="s">
        <v>47</v>
      </c>
      <c r="M48" s="7" t="s">
        <v>81</v>
      </c>
      <c r="N48" s="7" t="s">
        <v>30</v>
      </c>
      <c r="O48" s="8"/>
      <c r="P48" s="7"/>
    </row>
    <row r="49" customFormat="false" ht="23.85" hidden="false" customHeight="false" outlineLevel="0" collapsed="false">
      <c r="A49" s="13" t="s">
        <v>303</v>
      </c>
      <c r="B49" s="13" t="s">
        <v>51</v>
      </c>
      <c r="C49" s="13" t="s">
        <v>53</v>
      </c>
      <c r="D49" s="14" t="s">
        <v>304</v>
      </c>
      <c r="E49" s="13" t="s">
        <v>54</v>
      </c>
      <c r="F49" s="14" t="s">
        <v>76</v>
      </c>
      <c r="G49" s="14" t="s">
        <v>305</v>
      </c>
      <c r="H49" s="14" t="s">
        <v>78</v>
      </c>
      <c r="I49" s="14" t="s">
        <v>76</v>
      </c>
      <c r="J49" s="14" t="s">
        <v>306</v>
      </c>
      <c r="K49" s="14" t="s">
        <v>165</v>
      </c>
      <c r="L49" s="13" t="s">
        <v>47</v>
      </c>
      <c r="M49" s="13" t="s">
        <v>81</v>
      </c>
      <c r="N49" s="13" t="s">
        <v>30</v>
      </c>
      <c r="O49" s="14"/>
      <c r="P49" s="13"/>
    </row>
    <row r="50" customFormat="false" ht="23.85" hidden="false" customHeight="false" outlineLevel="0" collapsed="false">
      <c r="A50" s="7" t="s">
        <v>307</v>
      </c>
      <c r="B50" s="7" t="s">
        <v>55</v>
      </c>
      <c r="C50" s="7" t="s">
        <v>308</v>
      </c>
      <c r="D50" s="8" t="s">
        <v>309</v>
      </c>
      <c r="E50" s="7" t="s">
        <v>46</v>
      </c>
      <c r="F50" s="8" t="s">
        <v>220</v>
      </c>
      <c r="G50" s="8" t="s">
        <v>118</v>
      </c>
      <c r="H50" s="8" t="s">
        <v>78</v>
      </c>
      <c r="I50" s="8" t="s">
        <v>76</v>
      </c>
      <c r="J50" s="8" t="s">
        <v>310</v>
      </c>
      <c r="K50" s="8" t="s">
        <v>311</v>
      </c>
      <c r="L50" s="7" t="s">
        <v>47</v>
      </c>
      <c r="M50" s="7" t="s">
        <v>81</v>
      </c>
      <c r="N50" s="7" t="s">
        <v>30</v>
      </c>
      <c r="O50" s="8"/>
      <c r="P50" s="7"/>
    </row>
    <row r="51" customFormat="false" ht="46.25" hidden="false" customHeight="false" outlineLevel="0" collapsed="false">
      <c r="A51" s="13" t="s">
        <v>312</v>
      </c>
      <c r="B51" s="13" t="s">
        <v>55</v>
      </c>
      <c r="C51" s="13" t="s">
        <v>313</v>
      </c>
      <c r="D51" s="14" t="s">
        <v>314</v>
      </c>
      <c r="E51" s="13" t="s">
        <v>46</v>
      </c>
      <c r="F51" s="14" t="s">
        <v>76</v>
      </c>
      <c r="G51" s="14" t="s">
        <v>105</v>
      </c>
      <c r="H51" s="14" t="s">
        <v>85</v>
      </c>
      <c r="I51" s="14" t="s">
        <v>106</v>
      </c>
      <c r="J51" s="14" t="s">
        <v>315</v>
      </c>
      <c r="K51" s="14" t="s">
        <v>316</v>
      </c>
      <c r="L51" s="13" t="s">
        <v>47</v>
      </c>
      <c r="M51" s="13" t="s">
        <v>81</v>
      </c>
      <c r="N51" s="13" t="s">
        <v>30</v>
      </c>
      <c r="O51" s="14"/>
      <c r="P51" s="13"/>
    </row>
    <row r="52" customFormat="false" ht="23.85" hidden="false" customHeight="false" outlineLevel="0" collapsed="false">
      <c r="A52" s="7" t="s">
        <v>317</v>
      </c>
      <c r="B52" s="7" t="s">
        <v>55</v>
      </c>
      <c r="C52" s="7" t="s">
        <v>313</v>
      </c>
      <c r="D52" s="8" t="s">
        <v>318</v>
      </c>
      <c r="E52" s="7" t="s">
        <v>54</v>
      </c>
      <c r="F52" s="8" t="s">
        <v>76</v>
      </c>
      <c r="G52" s="8" t="s">
        <v>112</v>
      </c>
      <c r="H52" s="8" t="s">
        <v>78</v>
      </c>
      <c r="I52" s="8" t="s">
        <v>76</v>
      </c>
      <c r="J52" s="8" t="s">
        <v>319</v>
      </c>
      <c r="K52" s="8" t="s">
        <v>320</v>
      </c>
      <c r="L52" s="7" t="s">
        <v>47</v>
      </c>
      <c r="M52" s="7" t="s">
        <v>81</v>
      </c>
      <c r="N52" s="7" t="s">
        <v>30</v>
      </c>
      <c r="O52" s="8"/>
      <c r="P52" s="7"/>
    </row>
    <row r="53" customFormat="false" ht="23.85" hidden="false" customHeight="false" outlineLevel="0" collapsed="false">
      <c r="A53" s="13" t="s">
        <v>321</v>
      </c>
      <c r="B53" s="13" t="s">
        <v>55</v>
      </c>
      <c r="C53" s="13" t="s">
        <v>313</v>
      </c>
      <c r="D53" s="14" t="s">
        <v>322</v>
      </c>
      <c r="E53" s="13" t="s">
        <v>54</v>
      </c>
      <c r="F53" s="14" t="s">
        <v>76</v>
      </c>
      <c r="G53" s="14" t="s">
        <v>84</v>
      </c>
      <c r="H53" s="14" t="s">
        <v>85</v>
      </c>
      <c r="I53" s="14" t="s">
        <v>86</v>
      </c>
      <c r="J53" s="14" t="s">
        <v>323</v>
      </c>
      <c r="K53" s="14" t="s">
        <v>324</v>
      </c>
      <c r="L53" s="13" t="s">
        <v>47</v>
      </c>
      <c r="M53" s="13" t="s">
        <v>81</v>
      </c>
      <c r="N53" s="13" t="s">
        <v>30</v>
      </c>
      <c r="O53" s="14"/>
      <c r="P53" s="13"/>
    </row>
    <row r="54" customFormat="false" ht="35.05" hidden="false" customHeight="false" outlineLevel="0" collapsed="false">
      <c r="A54" s="7" t="s">
        <v>325</v>
      </c>
      <c r="B54" s="7" t="s">
        <v>55</v>
      </c>
      <c r="C54" s="7" t="s">
        <v>34</v>
      </c>
      <c r="D54" s="8" t="s">
        <v>326</v>
      </c>
      <c r="E54" s="7" t="s">
        <v>54</v>
      </c>
      <c r="F54" s="8" t="s">
        <v>191</v>
      </c>
      <c r="G54" s="8" t="s">
        <v>144</v>
      </c>
      <c r="H54" s="8" t="s">
        <v>145</v>
      </c>
      <c r="I54" s="8" t="s">
        <v>76</v>
      </c>
      <c r="J54" s="8" t="s">
        <v>327</v>
      </c>
      <c r="K54" s="8" t="s">
        <v>328</v>
      </c>
      <c r="L54" s="7" t="s">
        <v>47</v>
      </c>
      <c r="M54" s="7" t="s">
        <v>81</v>
      </c>
      <c r="N54" s="7" t="s">
        <v>30</v>
      </c>
      <c r="O54" s="8"/>
      <c r="P54" s="7"/>
    </row>
    <row r="55" customFormat="false" ht="23.85" hidden="false" customHeight="false" outlineLevel="0" collapsed="false">
      <c r="A55" s="13" t="s">
        <v>329</v>
      </c>
      <c r="B55" s="13" t="s">
        <v>55</v>
      </c>
      <c r="C55" s="13" t="s">
        <v>34</v>
      </c>
      <c r="D55" s="14" t="s">
        <v>330</v>
      </c>
      <c r="E55" s="13" t="s">
        <v>54</v>
      </c>
      <c r="F55" s="14" t="s">
        <v>76</v>
      </c>
      <c r="G55" s="14" t="s">
        <v>105</v>
      </c>
      <c r="H55" s="14" t="s">
        <v>85</v>
      </c>
      <c r="I55" s="14" t="s">
        <v>331</v>
      </c>
      <c r="J55" s="14" t="s">
        <v>332</v>
      </c>
      <c r="K55" s="14" t="s">
        <v>333</v>
      </c>
      <c r="L55" s="13" t="s">
        <v>47</v>
      </c>
      <c r="M55" s="13" t="s">
        <v>81</v>
      </c>
      <c r="N55" s="13" t="s">
        <v>30</v>
      </c>
      <c r="O55" s="14"/>
      <c r="P55" s="13"/>
    </row>
  </sheetData>
  <autoFilter ref="A1:P55"/>
  <conditionalFormatting sqref="N2:N5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conditionalFormatting sqref="L2:L55">
    <cfRule type="cellIs" priority="5" operator="equal" aboveAverage="0" equalAverage="0" bottom="0" percent="0" rank="0" text="" dxfId="7">
      <formula>"Known Issue"</formula>
    </cfRule>
  </conditionalFormatting>
  <dataValidations count="4">
    <dataValidation allowBlank="true" errorStyle="stop" operator="between" showDropDown="false" showErrorMessage="false" showInputMessage="false" sqref="N2:N55" type="list">
      <formula1>Lists!$A$2:$A$5</formula1>
      <formula2>0</formula2>
    </dataValidation>
    <dataValidation allowBlank="true" errorStyle="stop" operator="between" showDropDown="false" showErrorMessage="false" showInputMessage="false" sqref="L2:L55" type="list">
      <formula1>Lists!$B$2:$B$4</formula1>
      <formula2>0</formula2>
    </dataValidation>
    <dataValidation allowBlank="true" errorStyle="stop" operator="between" showDropDown="false" showErrorMessage="false" showInputMessage="false" sqref="E2:E55" type="list">
      <formula1>Lists!$C$2:$C$5</formula1>
      <formula2>0</formula2>
    </dataValidation>
    <dataValidation allowBlank="true" errorStyle="stop" operator="between" showDropDown="false" showErrorMessage="false" showInputMessage="false" sqref="M2:M5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5" t="s">
        <v>71</v>
      </c>
      <c r="B1" s="15" t="s">
        <v>25</v>
      </c>
      <c r="C1" s="15" t="s">
        <v>24</v>
      </c>
      <c r="D1" s="15" t="s">
        <v>70</v>
      </c>
    </row>
    <row r="2" customFormat="false" ht="15" hidden="false" customHeight="false" outlineLevel="0" collapsed="false">
      <c r="A2" s="16" t="s">
        <v>334</v>
      </c>
      <c r="B2" s="16" t="s">
        <v>36</v>
      </c>
      <c r="C2" s="16" t="s">
        <v>35</v>
      </c>
      <c r="D2" s="16" t="s">
        <v>81</v>
      </c>
    </row>
    <row r="3" customFormat="false" ht="15" hidden="false" customHeight="false" outlineLevel="0" collapsed="false">
      <c r="A3" s="16" t="s">
        <v>335</v>
      </c>
      <c r="B3" s="16" t="s">
        <v>47</v>
      </c>
      <c r="C3" s="16" t="s">
        <v>46</v>
      </c>
      <c r="D3" s="16" t="s">
        <v>336</v>
      </c>
    </row>
    <row r="4" customFormat="false" ht="15" hidden="false" customHeight="false" outlineLevel="0" collapsed="false">
      <c r="A4" s="16" t="s">
        <v>29</v>
      </c>
      <c r="B4" s="16" t="s">
        <v>337</v>
      </c>
      <c r="C4" s="16" t="s">
        <v>54</v>
      </c>
    </row>
    <row r="5" customFormat="false" ht="15" hidden="false" customHeight="false" outlineLevel="0" collapsed="false">
      <c r="A5" s="16" t="s">
        <v>30</v>
      </c>
      <c r="C5" s="16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2026-09-24T09:36:43Z</dcterms:created>
  <dc:creator>openpyxl</dc:creator>
  <dc:description/>
  <dc:language>en-US</dc:language>
  <cp:lastModifiedBy/>
  <dcterms:modified xsi:type="dcterms:W3CDTF">2026-09-24T09:36:43Z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